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Historical Financial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Debt Schedule" sheetId="4" state="visible" r:id="rId4"/>
    <sheet xmlns:r="http://schemas.openxmlformats.org/officeDocument/2006/relationships" name="Operating Model" sheetId="5" state="visible" r:id="rId5"/>
    <sheet xmlns:r="http://schemas.openxmlformats.org/officeDocument/2006/relationships" name="Free Cash Flow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Sensitivities" sheetId="8" state="visible" r:id="rId8"/>
    <sheet xmlns:r="http://schemas.openxmlformats.org/officeDocument/2006/relationships" name="Credit Stats" sheetId="9" state="visible" r:id="rId9"/>
  </sheets>
  <definedNames>
    <definedName name="_xlnm.Print_Area" localSheetId="0">'Assumptions'!$A$1:$G$42</definedName>
    <definedName name="_xlnm.Print_Area" localSheetId="1">'Historical Financials'!$A$1:$H$63</definedName>
    <definedName name="_xlnm.Print_Area" localSheetId="2">'Sources &amp; Uses'!$A$1:$E$38</definedName>
    <definedName name="_xlnm.Print_Area" localSheetId="3">'Debt Schedule'!$A$1:$G$42</definedName>
    <definedName name="_xlnm.Print_Area" localSheetId="4">'Operating Model'!$A$1:$G$21</definedName>
    <definedName name="_xlnm.Print_Area" localSheetId="5">'Free Cash Flow'!$A$1:$G$18</definedName>
    <definedName name="_xlnm.Print_Area" localSheetId="6">'Returns'!$A$1:$H$32</definedName>
    <definedName name="_xlnm.Print_Area" localSheetId="7">'Sensitivities'!$A$1:$H$92</definedName>
    <definedName name="_xlnm.Print_Area" localSheetId="8">'Credit Stats'!$A$1:$G$12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0.0%"/>
    <numFmt numFmtId="166" formatCode="#,##0;(#,##0)"/>
    <numFmt numFmtId="167" formatCode="$#,##0.00"/>
    <numFmt numFmtId="168" formatCode="$#,##0.0;($#,##0.0)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i val="1"/>
      <color rgb="FF7F7F7F"/>
      <sz val="10"/>
    </font>
    <font>
      <name val="Calibri"/>
      <b val="1"/>
      <color rgb="FF1F4E96"/>
      <sz val="11"/>
    </font>
    <font>
      <name val="Calibri"/>
      <color rgb="FF000000"/>
      <sz val="11"/>
    </font>
    <font>
      <name val="Calibri"/>
      <color rgb="FF1F4E96"/>
      <sz val="11"/>
    </font>
    <font>
      <name val="Calibri"/>
      <color rgb="FF7F7F7F"/>
      <sz val="10"/>
    </font>
    <font>
      <name val="Calibri"/>
      <b val="1"/>
      <color rgb="FF000000"/>
      <sz val="11"/>
    </font>
    <font>
      <name val="Calibri"/>
      <color rgb="FF1E7B34"/>
      <sz val="11"/>
    </font>
    <font>
      <name val="Calibri"/>
      <b val="1"/>
      <color rgb="FF1E7B34"/>
      <sz val="11"/>
    </font>
  </fonts>
  <fills count="4">
    <fill>
      <patternFill/>
    </fill>
    <fill>
      <patternFill patternType="gray125"/>
    </fill>
    <fill>
      <patternFill patternType="solid">
        <fgColor rgb="FF1F4E96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bottom style="thin">
        <color rgb="FFB7B7B7"/>
      </bottom>
    </border>
    <border>
      <top style="thin">
        <color rgb="FFB7B7B7"/>
      </top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" fontId="5" fillId="0" borderId="0" pivotButton="0" quotePrefix="0" xfId="0"/>
    <xf numFmtId="10" fontId="5" fillId="0" borderId="0" pivotButton="0" quotePrefix="0" xfId="0"/>
    <xf numFmtId="0" fontId="7" fillId="0" borderId="1" applyAlignment="1" pivotButton="0" quotePrefix="0" xfId="0">
      <alignment horizontal="center"/>
    </xf>
    <xf numFmtId="167" fontId="5" fillId="0" borderId="0" pivotButton="0" quotePrefix="0" xfId="0"/>
    <xf numFmtId="166" fontId="4" fillId="0" borderId="0" pivotButton="0" quotePrefix="0" xfId="0"/>
    <xf numFmtId="166" fontId="8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indent="1"/>
    </xf>
    <xf numFmtId="0" fontId="2" fillId="0" borderId="0" applyAlignment="1" pivotButton="0" quotePrefix="0" xfId="0">
      <alignment/>
    </xf>
    <xf numFmtId="166" fontId="7" fillId="0" borderId="0" pivotButton="0" quotePrefix="0" xfId="0"/>
    <xf numFmtId="165" fontId="4" fillId="0" borderId="0" pivotButton="0" quotePrefix="0" xfId="0"/>
    <xf numFmtId="166" fontId="9" fillId="0" borderId="0" pivotButton="0" quotePrefix="0" xfId="0"/>
    <xf numFmtId="168" fontId="8" fillId="0" borderId="0" pivotButton="0" quotePrefix="0" xfId="0"/>
    <xf numFmtId="164" fontId="8" fillId="0" borderId="0" pivotButton="0" quotePrefix="0" xfId="0"/>
    <xf numFmtId="168" fontId="7" fillId="0" borderId="0" pivotButton="0" quotePrefix="0" xfId="0"/>
    <xf numFmtId="168" fontId="4" fillId="0" borderId="0" pivotButton="0" quotePrefix="0" xfId="0"/>
    <xf numFmtId="0" fontId="7" fillId="0" borderId="2" pivotButton="0" quotePrefix="0" xfId="0"/>
    <xf numFmtId="168" fontId="7" fillId="0" borderId="2" pivotButton="0" quotePrefix="0" xfId="0"/>
    <xf numFmtId="165" fontId="8" fillId="0" borderId="0" pivotButton="0" quotePrefix="0" xfId="0"/>
    <xf numFmtId="168" fontId="9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" fontId="7" fillId="0" borderId="0" applyAlignment="1" pivotButton="0" quotePrefix="0" xfId="0">
      <alignment horizontal="center"/>
    </xf>
    <xf numFmtId="165" fontId="4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55" customWidth="1" min="7" max="7"/>
  </cols>
  <sheetData>
    <row r="1" ht="22" customHeight="1">
      <c r="A1" s="1" t="inlineStr">
        <is>
          <t>V2X, Inc. (NYSE: VVX) — LBO Model: Assumptions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All inputs in blue. $ in 000s unless noted. Change any blue cell to flex the model.</t>
        </is>
      </c>
    </row>
    <row r="4">
      <c r="A4" s="4" t="inlineStr">
        <is>
          <t>Transaction Assumptions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Entry / close date</t>
        </is>
      </c>
      <c r="B5" s="7" t="inlineStr">
        <is>
          <t>12/31/2025</t>
        </is>
      </c>
    </row>
    <row r="6">
      <c r="A6" s="6" t="inlineStr">
        <is>
          <t>Entry TEV / EBITDA multiple</t>
        </is>
      </c>
      <c r="B6" s="8" t="n">
        <v>11</v>
      </c>
      <c r="G6" s="9" t="inlineStr">
        <is>
          <t>11.0x = KBR/LinQuest precedent (11.0x); modest premium to VVX undisturbed trading multiple (~10.5x, see Market Reference below); within Perspecta/Veritas comp range of 10.5x-13.3x (Perspecta DEFM14A)</t>
        </is>
      </c>
    </row>
    <row r="7">
      <c r="A7" s="6" t="inlineStr">
        <is>
          <t>Transaction fees (% of entry TEV)</t>
        </is>
      </c>
      <c r="B7" s="10" t="n">
        <v>0.015</v>
      </c>
    </row>
    <row r="8">
      <c r="A8" s="6" t="inlineStr">
        <is>
          <t>Financing fees (% of new debt raised)</t>
        </is>
      </c>
      <c r="B8" s="10" t="n">
        <v>0.025</v>
      </c>
    </row>
    <row r="9">
      <c r="A9" s="6" t="inlineStr">
        <is>
          <t>Minimum cash balance funded at close</t>
        </is>
      </c>
      <c r="B9" s="11" t="n">
        <v>50000</v>
      </c>
    </row>
    <row r="10">
      <c r="A10" s="6" t="inlineStr">
        <is>
          <t>Hold period (years)</t>
        </is>
      </c>
      <c r="B10" s="12" t="n">
        <v>5</v>
      </c>
    </row>
    <row r="11">
      <c r="A11" s="6" t="inlineStr">
        <is>
          <t>Exit year</t>
        </is>
      </c>
      <c r="B11" s="12" t="n">
        <v>2030</v>
      </c>
    </row>
    <row r="12">
      <c r="A12" s="6" t="inlineStr">
        <is>
          <t>Exit TEV / EBITDA multiple</t>
        </is>
      </c>
      <c r="B12" s="8" t="n">
        <v>11</v>
      </c>
      <c r="G12" s="9" t="inlineStr">
        <is>
          <t>Base case assumes flat multiple (no re-rating); return relies on EBITDA growth + deleveraging. Flexed in Sensitivities.</t>
        </is>
      </c>
    </row>
    <row r="14">
      <c r="A14" s="4" t="inlineStr">
        <is>
          <t>Financing Structure at Close</t>
        </is>
      </c>
      <c r="B14" s="5" t="n"/>
      <c r="C14" s="5" t="n"/>
      <c r="D14" s="5" t="n"/>
      <c r="E14" s="5" t="n"/>
      <c r="F14" s="5" t="n"/>
      <c r="G14" s="5" t="n"/>
    </row>
    <row r="15">
      <c r="A15" s="6" t="inlineStr">
        <is>
          <t>New Term Loan B (x Entry EBITDA)</t>
        </is>
      </c>
      <c r="B15" s="8" t="n">
        <v>4.5</v>
      </c>
    </row>
    <row r="16">
      <c r="A16" s="6" t="inlineStr">
        <is>
          <t>New Senior Notes (x Entry EBITDA)</t>
        </is>
      </c>
      <c r="B16" s="8" t="n">
        <v>1.5</v>
      </c>
    </row>
    <row r="17">
      <c r="A17" s="6" t="inlineStr">
        <is>
          <t>Revolver capacity</t>
        </is>
      </c>
      <c r="B17" s="11" t="n">
        <v>150000</v>
      </c>
    </row>
    <row r="18">
      <c r="A18" s="6" t="inlineStr">
        <is>
          <t>Term Loan B interest rate (all-in)</t>
        </is>
      </c>
      <c r="B18" s="13" t="n">
        <v>0.07000000000000001</v>
      </c>
      <c r="G18" s="9" t="inlineStr">
        <is>
          <t>vs. 6.50% effective rate on V2X's actual First Lien TLB at 12/31/25 (10-K Note DEBT); wider spread assumed for higher LBO leverage</t>
        </is>
      </c>
    </row>
    <row r="19">
      <c r="A19" s="6" t="inlineStr">
        <is>
          <t>Senior Notes interest rate (fixed)</t>
        </is>
      </c>
      <c r="B19" s="13" t="n">
        <v>0.08500000000000001</v>
      </c>
    </row>
    <row r="20">
      <c r="A20" s="6" t="inlineStr">
        <is>
          <t>Revolver interest rate (all-in, if drawn)</t>
        </is>
      </c>
      <c r="B20" s="13" t="n">
        <v>0.0725</v>
      </c>
    </row>
    <row r="21">
      <c r="A21" s="6" t="inlineStr">
        <is>
          <t>Revolver commitment fee (undrawn)</t>
        </is>
      </c>
      <c r="B21" s="13" t="n">
        <v>0.00375</v>
      </c>
      <c r="G21" s="9" t="inlineStr">
        <is>
          <t>V2X's actual 2025 Revolver unused fee is 0.25%-0.375% depending on leverage (10-K Note DEBT)</t>
        </is>
      </c>
    </row>
    <row r="22">
      <c r="A22" s="6" t="inlineStr">
        <is>
          <t>Term Loan B mandatory amortization (% of orig. principal, p.a.)</t>
        </is>
      </c>
      <c r="B22" s="10" t="n">
        <v>0.01</v>
      </c>
    </row>
    <row r="23">
      <c r="A23" s="6" t="inlineStr">
        <is>
          <t>Cash flow sweep % (of FCF after mandatory amort.)</t>
        </is>
      </c>
      <c r="B23" s="10" t="n">
        <v>0.75</v>
      </c>
    </row>
    <row r="25">
      <c r="A25" s="4" t="inlineStr">
        <is>
          <t>Operating Assumptions — Revenue Growth &amp; EBITDA Margin Path</t>
        </is>
      </c>
      <c r="B25" s="5" t="n"/>
      <c r="C25" s="5" t="n"/>
      <c r="D25" s="5" t="n"/>
      <c r="E25" s="5" t="n"/>
      <c r="F25" s="5" t="n"/>
      <c r="G25" s="5" t="n"/>
    </row>
    <row r="26">
      <c r="B26" s="14" t="inlineStr">
        <is>
          <t>FY2026</t>
        </is>
      </c>
      <c r="C26" s="14" t="inlineStr">
        <is>
          <t>FY2027</t>
        </is>
      </c>
      <c r="D26" s="14" t="inlineStr">
        <is>
          <t>FY2028</t>
        </is>
      </c>
      <c r="E26" s="14" t="inlineStr">
        <is>
          <t>FY2029</t>
        </is>
      </c>
      <c r="F26" s="14" t="inlineStr">
        <is>
          <t>FY2030</t>
        </is>
      </c>
    </row>
    <row r="27">
      <c r="A27" s="6" t="inlineStr">
        <is>
          <t>Revenue growth %</t>
        </is>
      </c>
      <c r="B27" s="10" t="n">
        <v>0.04</v>
      </c>
      <c r="C27" s="10" t="n">
        <v>0.04</v>
      </c>
      <c r="D27" s="10" t="n">
        <v>0.045</v>
      </c>
      <c r="E27" s="10" t="n">
        <v>0.045</v>
      </c>
      <c r="F27" s="10" t="n">
        <v>0.045</v>
      </c>
    </row>
    <row r="28">
      <c r="A28" s="6" t="inlineStr">
        <is>
          <t>EBITDA margin %</t>
        </is>
      </c>
      <c r="B28" s="10" t="n">
        <v>0.07000000000000001</v>
      </c>
      <c r="C28" s="10" t="n">
        <v>0.07199999999999999</v>
      </c>
      <c r="D28" s="10" t="n">
        <v>0.074</v>
      </c>
      <c r="E28" s="10" t="n">
        <v>0.075</v>
      </c>
      <c r="F28" s="10" t="n">
        <v>0.076</v>
      </c>
    </row>
    <row r="30">
      <c r="A30" s="4" t="inlineStr">
        <is>
          <t>Operating Assumptions — Flat Rates</t>
        </is>
      </c>
      <c r="B30" s="5" t="n"/>
      <c r="C30" s="5" t="n"/>
      <c r="D30" s="5" t="n"/>
      <c r="E30" s="5" t="n"/>
      <c r="F30" s="5" t="n"/>
      <c r="G30" s="5" t="n"/>
    </row>
    <row r="31">
      <c r="A31" s="6" t="inlineStr">
        <is>
          <t>D&amp;A (% of revenue)</t>
        </is>
      </c>
      <c r="B31" s="10" t="n">
        <v>0.024</v>
      </c>
      <c r="G31" s="9" t="inlineStr">
        <is>
          <t>vs. FY25A actual D&amp;A/revenue of 2.51% (10-K cash flow statement)</t>
        </is>
      </c>
    </row>
    <row r="32">
      <c r="A32" s="6" t="inlineStr">
        <is>
          <t>Capex (% of revenue)</t>
        </is>
      </c>
      <c r="B32" s="10" t="n">
        <v>0.0035</v>
      </c>
      <c r="G32" s="9" t="inlineStr">
        <is>
          <t>vs. FY23A-FY25A actual capex/revenue of 0.27%-0.63% (10-K cash flow statements)</t>
        </is>
      </c>
    </row>
    <row r="33">
      <c r="A33" s="6" t="inlineStr">
        <is>
          <t>Net working capital (% of revenue)</t>
        </is>
      </c>
      <c r="B33" s="10" t="n">
        <v>-0.03</v>
      </c>
      <c r="G33" s="9" t="inlineStr">
        <is>
          <t>Negative NWC is a source of cash as revenue grows; vs. FY25A actual of -3.00% of revenue (see Historical Financials tab)</t>
        </is>
      </c>
    </row>
    <row r="34">
      <c r="A34" s="6" t="inlineStr">
        <is>
          <t>Cash tax rate</t>
        </is>
      </c>
      <c r="B34" s="10" t="n">
        <v>0.25</v>
      </c>
      <c r="G34" s="9" t="inlineStr">
        <is>
          <t>vs. FY25A effective rate of 22.8% (10-K income statement); rounded up as a normalized go-forward estimate</t>
        </is>
      </c>
    </row>
    <row r="36">
      <c r="A36" s="4" t="inlineStr">
        <is>
          <t>Market Reference (informational — not used in calc-tab formulas)</t>
        </is>
      </c>
      <c r="B36" s="5" t="n"/>
      <c r="C36" s="5" t="n"/>
      <c r="D36" s="5" t="n"/>
      <c r="E36" s="5" t="n"/>
      <c r="F36" s="5" t="n"/>
      <c r="G36" s="5" t="n"/>
    </row>
    <row r="37">
      <c r="A37" s="6" t="inlineStr">
        <is>
          <t>VVX stock price</t>
        </is>
      </c>
      <c r="B37" s="15" t="n">
        <v>79.01000000000001</v>
      </c>
      <c r="G37" s="9" t="inlineStr">
        <is>
          <t>stockanalysis.com quote, 2026-08-20 close</t>
        </is>
      </c>
    </row>
    <row r="38">
      <c r="A38" s="6" t="inlineStr">
        <is>
          <t>Shares outstanding (000s)</t>
        </is>
      </c>
      <c r="B38" s="11" t="n">
        <v>31350</v>
      </c>
      <c r="G38" s="9" t="inlineStr">
        <is>
          <t>stockanalysis.com, 2026-08-20</t>
        </is>
      </c>
    </row>
    <row r="39">
      <c r="A39" s="6" t="inlineStr">
        <is>
          <t>Implied current market capitalization</t>
        </is>
      </c>
      <c r="B39" s="16">
        <f>B37*B38</f>
        <v/>
      </c>
    </row>
    <row r="40">
      <c r="A40" s="6" t="inlineStr">
        <is>
          <t>Existing net debt at 12/31/2025 (principal basis)</t>
        </is>
      </c>
      <c r="B40" s="17">
        <f>'Historical Financials'!B62</f>
        <v/>
      </c>
    </row>
    <row r="41">
      <c r="A41" s="6" t="inlineStr">
        <is>
          <t>Implied current trading TEV</t>
        </is>
      </c>
      <c r="B41" s="16">
        <f>B39+B40</f>
        <v/>
      </c>
    </row>
    <row r="42">
      <c r="A42" s="6" t="inlineStr">
        <is>
          <t>Implied current trading TEV / FY25A EBITDA</t>
        </is>
      </c>
      <c r="B42" s="18">
        <f>B41/'Historical Financials'!B63</f>
        <v/>
      </c>
    </row>
  </sheetData>
  <mergeCells count="7">
    <mergeCell ref="A36:G36"/>
    <mergeCell ref="A14:G14"/>
    <mergeCell ref="A1:G1"/>
    <mergeCell ref="A4:G4"/>
    <mergeCell ref="A30:G30"/>
    <mergeCell ref="A2:G2"/>
    <mergeCell ref="A25:G2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  <col width="65" customWidth="1" min="8" max="8"/>
  </cols>
  <sheetData>
    <row r="1" ht="22" customHeight="1">
      <c r="A1" s="1" t="inlineStr">
        <is>
          <t>V2X, Inc. (NYSE: VVX) — Historical Financials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$ in 000s unless noted. Every figure traces to a 10-K per the Source column.</t>
        </is>
      </c>
    </row>
    <row r="4">
      <c r="A4" s="19" t="inlineStr">
        <is>
          <t>Filing references used below:</t>
        </is>
      </c>
    </row>
    <row r="5">
      <c r="A5" s="20" t="inlineStr">
        <is>
          <t xml:space="preserve">  10-K FY2025 (period ended 12/31/2025, filed 2026-02-23), SEC accession 0001601548-26-000015</t>
        </is>
      </c>
    </row>
    <row r="6">
      <c r="A6" s="20" t="inlineStr">
        <is>
          <t xml:space="preserve">  10-K FY2023 (period ended 12/31/2023, filed 2024-03-05), SEC accession 0001601548-24-000004</t>
        </is>
      </c>
    </row>
    <row r="8">
      <c r="A8" s="4" t="inlineStr">
        <is>
          <t>Consolidated Statements of Income (Loss) ($000s)</t>
        </is>
      </c>
      <c r="B8" s="5" t="n"/>
      <c r="C8" s="5" t="n"/>
      <c r="D8" s="5" t="n"/>
      <c r="E8" s="5" t="n"/>
      <c r="F8" s="5" t="n"/>
      <c r="G8" s="5" t="n"/>
      <c r="H8" s="5" t="n"/>
    </row>
    <row r="9">
      <c r="B9" s="14" t="inlineStr">
        <is>
          <t>FY2021</t>
        </is>
      </c>
      <c r="C9" s="14" t="inlineStr">
        <is>
          <t>FY2022</t>
        </is>
      </c>
      <c r="D9" s="14" t="inlineStr">
        <is>
          <t>FY2023</t>
        </is>
      </c>
      <c r="E9" s="14" t="inlineStr">
        <is>
          <t>FY2024</t>
        </is>
      </c>
      <c r="F9" s="14" t="inlineStr">
        <is>
          <t>FY2025</t>
        </is>
      </c>
      <c r="H9" s="19" t="inlineStr">
        <is>
          <t>Source</t>
        </is>
      </c>
    </row>
    <row r="10">
      <c r="A10" s="6" t="inlineStr">
        <is>
          <t>Revenue</t>
        </is>
      </c>
      <c r="B10" s="16" t="n">
        <v>1783665</v>
      </c>
      <c r="C10" s="16" t="n">
        <v>2890860</v>
      </c>
      <c r="D10" s="16" t="n">
        <v>3963126</v>
      </c>
      <c r="E10" s="16" t="n">
        <v>4322155</v>
      </c>
      <c r="F10" s="16" t="n">
        <v>4480038</v>
      </c>
      <c r="H10" s="21" t="inlineStr">
        <is>
          <t>10-K FY2025 Consolidated Statements of Income (Loss), FY23-25 cols; 10-K FY2023 Consolidated Statements of (Loss) Income, FY21-23 cols</t>
        </is>
      </c>
    </row>
    <row r="11">
      <c r="A11" s="6" t="inlineStr">
        <is>
          <t>Cost of revenue</t>
        </is>
      </c>
      <c r="B11" s="16" t="n">
        <v>1623245</v>
      </c>
      <c r="C11" s="16" t="n">
        <v>2595848</v>
      </c>
      <c r="D11" s="16" t="n">
        <v>3628271</v>
      </c>
      <c r="E11" s="16" t="n">
        <v>3979193</v>
      </c>
      <c r="F11" s="16" t="n">
        <v>4106656</v>
      </c>
      <c r="H11" s="21" t="inlineStr">
        <is>
          <t>10-K FY2025 Consolidated Statements of Income (Loss), FY23-25 cols; 10-K FY2023 Consolidated Statements of (Loss) Income, FY21-23 cols</t>
        </is>
      </c>
    </row>
    <row r="12">
      <c r="A12" s="6" t="inlineStr">
        <is>
          <t>Selling, general &amp; administrative</t>
        </is>
      </c>
      <c r="B12" s="16" t="n">
        <v>98400</v>
      </c>
      <c r="C12" s="16" t="n">
        <v>239241</v>
      </c>
      <c r="D12" s="16" t="n">
        <v>210439</v>
      </c>
      <c r="E12" s="16" t="n">
        <v>183758</v>
      </c>
      <c r="F12" s="16" t="n">
        <v>179112</v>
      </c>
      <c r="H12" s="21" t="inlineStr">
        <is>
          <t>10-K FY2025 Consolidated Statements of Income (Loss), FY23-25 cols; 10-K FY2023 Consolidated Statements of (Loss) Income, FY21-23 cols</t>
        </is>
      </c>
    </row>
    <row r="13">
      <c r="A13" s="6" t="inlineStr">
        <is>
          <t>Operating income</t>
        </is>
      </c>
      <c r="B13" s="16" t="n">
        <v>62020</v>
      </c>
      <c r="C13" s="16" t="n">
        <v>55771</v>
      </c>
      <c r="D13" s="16" t="n">
        <v>124416</v>
      </c>
      <c r="E13" s="16" t="n">
        <v>159204</v>
      </c>
      <c r="F13" s="16" t="n">
        <v>194270</v>
      </c>
      <c r="H13" s="21" t="inlineStr">
        <is>
          <t>10-K FY2025 Consolidated Statements of Income (Loss), FY23-25 cols; 10-K FY2023 Consolidated Statements of (Loss) Income, FY21-23 cols</t>
        </is>
      </c>
    </row>
    <row r="14">
      <c r="A14" s="6" t="inlineStr">
        <is>
          <t>Loss on extinguishment of debt</t>
        </is>
      </c>
      <c r="B14" s="16" t="n">
        <v>0</v>
      </c>
      <c r="C14" s="16" t="n">
        <v>0</v>
      </c>
      <c r="D14" s="16" t="n">
        <v>-22298</v>
      </c>
      <c r="E14" s="16" t="n">
        <v>-1998</v>
      </c>
      <c r="F14" s="16" t="n">
        <v>-2527</v>
      </c>
      <c r="H14" s="21" t="inlineStr">
        <is>
          <t>10-K FY2025 Consolidated Statements of Income (Loss), FY23-25 cols; 10-K FY2023 Consolidated Statements of (Loss) Income, FY21-23 cols</t>
        </is>
      </c>
    </row>
    <row r="15">
      <c r="A15" s="6" t="inlineStr">
        <is>
          <t>Interest expense, net</t>
        </is>
      </c>
      <c r="B15" s="16" t="n">
        <v>-7985</v>
      </c>
      <c r="C15" s="16" t="n">
        <v>-61879</v>
      </c>
      <c r="D15" s="16" t="n">
        <v>-122442</v>
      </c>
      <c r="E15" s="16" t="n">
        <v>-107900</v>
      </c>
      <c r="F15" s="16" t="n">
        <v>-79909</v>
      </c>
      <c r="H15" s="21" t="inlineStr">
        <is>
          <t>10-K FY2025 Consolidated Statements of Income (Loss), FY23-25 cols; 10-K FY2023 Consolidated Statements of (Loss) Income, FY21-23 cols</t>
        </is>
      </c>
    </row>
    <row r="16">
      <c r="A16" s="6" t="inlineStr">
        <is>
          <t>Other expense, net</t>
        </is>
      </c>
      <c r="B16" s="16" t="n">
        <v>0</v>
      </c>
      <c r="C16" s="16" t="n">
        <v>0</v>
      </c>
      <c r="D16" s="16" t="n">
        <v>-4194</v>
      </c>
      <c r="E16" s="16" t="n">
        <v>-10465</v>
      </c>
      <c r="F16" s="16" t="n">
        <v>-10931</v>
      </c>
      <c r="H16" s="21" t="inlineStr">
        <is>
          <t>10-K FY2025 Consolidated Statements of Income (Loss), FY23-25 cols; 10-K FY2023 Consolidated Statements of (Loss) Income, FY21-23 cols</t>
        </is>
      </c>
    </row>
    <row r="17">
      <c r="A17" s="6" t="inlineStr">
        <is>
          <t>Pretax income (loss)</t>
        </is>
      </c>
      <c r="B17" s="16" t="n">
        <v>54035</v>
      </c>
      <c r="C17" s="16" t="n">
        <v>-6108</v>
      </c>
      <c r="D17" s="16" t="n">
        <v>-24518</v>
      </c>
      <c r="E17" s="16" t="n">
        <v>38841</v>
      </c>
      <c r="F17" s="16" t="n">
        <v>100903</v>
      </c>
      <c r="H17" s="21" t="inlineStr">
        <is>
          <t>10-K FY2025 Consolidated Statements of Income (Loss), FY23-25 cols; 10-K FY2023 Consolidated Statements of (Loss) Income, FY21-23 cols</t>
        </is>
      </c>
    </row>
    <row r="18">
      <c r="A18" s="6" t="inlineStr">
        <is>
          <t>Income tax expense (benefit)</t>
        </is>
      </c>
      <c r="B18" s="16" t="n">
        <v>8307</v>
      </c>
      <c r="C18" s="16" t="n">
        <v>8222</v>
      </c>
      <c r="D18" s="16" t="n">
        <v>-1945</v>
      </c>
      <c r="E18" s="16" t="n">
        <v>4157</v>
      </c>
      <c r="F18" s="16" t="n">
        <v>23021</v>
      </c>
      <c r="H18" s="21" t="inlineStr">
        <is>
          <t>10-K FY2025 Consolidated Statements of Income (Loss), FY23-25 cols; 10-K FY2023 Consolidated Statements of (Loss) Income, FY21-23 cols</t>
        </is>
      </c>
    </row>
    <row r="19">
      <c r="A19" s="19" t="inlineStr">
        <is>
          <t>Net income (loss)</t>
        </is>
      </c>
      <c r="B19" s="22" t="n">
        <v>45728</v>
      </c>
      <c r="C19" s="22" t="n">
        <v>-14330</v>
      </c>
      <c r="D19" s="22" t="n">
        <v>-22573</v>
      </c>
      <c r="E19" s="22" t="n">
        <v>34684</v>
      </c>
      <c r="F19" s="22" t="n">
        <v>77882</v>
      </c>
      <c r="H19" s="3" t="inlineStr">
        <is>
          <t>10-K FY2025 Consolidated Statements of Income (Loss), FY23-25 cols; 10-K FY2023 Consolidated Statements of (Loss) Income, FY21-23 cols</t>
        </is>
      </c>
    </row>
    <row r="21">
      <c r="A21" s="4" t="inlineStr">
        <is>
          <t>Consolidated Balance Sheets ($000s)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C22" s="14" t="inlineStr">
        <is>
          <t>FY2022</t>
        </is>
      </c>
      <c r="D22" s="14" t="inlineStr">
        <is>
          <t>FY2023</t>
        </is>
      </c>
      <c r="E22" s="14" t="inlineStr">
        <is>
          <t>FY2024</t>
        </is>
      </c>
      <c r="F22" s="14" t="inlineStr">
        <is>
          <t>FY2025</t>
        </is>
      </c>
      <c r="H22" s="19" t="inlineStr">
        <is>
          <t>Source</t>
        </is>
      </c>
    </row>
    <row r="23">
      <c r="A23" s="6" t="inlineStr">
        <is>
          <t>Cash, cash equivalents &amp; restricted cash</t>
        </is>
      </c>
      <c r="C23" s="16" t="n">
        <v>116067</v>
      </c>
      <c r="D23" s="16" t="n">
        <v>72651</v>
      </c>
      <c r="E23" s="16" t="n">
        <v>268321</v>
      </c>
      <c r="F23" s="16" t="n">
        <v>368994</v>
      </c>
      <c r="H23" s="21" t="inlineStr">
        <is>
          <t>10-K FY2025 Consolidated Balance Sheets, FY24-25 cols; 10-K FY2023 Consolidated Balance Sheets, FY22-23 cols</t>
        </is>
      </c>
    </row>
    <row r="24">
      <c r="A24" s="6" t="inlineStr">
        <is>
          <t>Receivables</t>
        </is>
      </c>
      <c r="C24" s="16" t="n">
        <v>728582</v>
      </c>
      <c r="D24" s="16" t="n">
        <v>705995</v>
      </c>
      <c r="E24" s="16" t="n">
        <v>710068</v>
      </c>
      <c r="F24" s="16" t="n">
        <v>738922</v>
      </c>
      <c r="H24" s="21" t="inlineStr">
        <is>
          <t>10-K FY2025 Consolidated Balance Sheets, FY24-25 cols; 10-K FY2023 Consolidated Balance Sheets, FY22-23 cols</t>
        </is>
      </c>
    </row>
    <row r="25">
      <c r="A25" s="6" t="inlineStr">
        <is>
          <t>Prepaid &amp; other current assets (incl. inventory FY22-23)</t>
        </is>
      </c>
      <c r="C25" s="16" t="n">
        <v>87283</v>
      </c>
      <c r="D25" s="16" t="n">
        <v>96223</v>
      </c>
      <c r="E25" s="16" t="n">
        <v>124081</v>
      </c>
      <c r="F25" s="16" t="n">
        <v>127102</v>
      </c>
      <c r="H25" s="21" t="inlineStr">
        <is>
          <t>10-K FY2025 Consolidated Balance Sheets, FY24-25 cols; 10-K FY2023 Consolidated Balance Sheets, FY22-23 cols</t>
        </is>
      </c>
    </row>
    <row r="26">
      <c r="A26" s="20" t="inlineStr">
        <is>
          <t>Total current assets</t>
        </is>
      </c>
      <c r="C26" s="16" t="n">
        <v>931932</v>
      </c>
      <c r="D26" s="16" t="n">
        <v>874869</v>
      </c>
      <c r="E26" s="16" t="n">
        <v>1102470</v>
      </c>
      <c r="F26" s="16" t="n">
        <v>1235018</v>
      </c>
      <c r="H26" s="21" t="inlineStr">
        <is>
          <t>10-K FY2025 Consolidated Balance Sheets, FY24-25 cols; 10-K FY2023 Consolidated Balance Sheets, FY22-23 cols</t>
        </is>
      </c>
    </row>
    <row r="27">
      <c r="A27" s="6" t="inlineStr">
        <is>
          <t>Property, plant &amp; equipment, net</t>
        </is>
      </c>
      <c r="C27" s="16" t="n">
        <v>78715</v>
      </c>
      <c r="D27" s="16" t="n">
        <v>85429</v>
      </c>
      <c r="E27" s="16" t="n">
        <v>62001</v>
      </c>
      <c r="F27" s="16" t="n">
        <v>52383</v>
      </c>
      <c r="H27" s="21" t="inlineStr">
        <is>
          <t>10-K FY2025 Consolidated Balance Sheets, FY24-25 cols; 10-K FY2023 Consolidated Balance Sheets, FY22-23 cols</t>
        </is>
      </c>
    </row>
    <row r="28">
      <c r="A28" s="6" t="inlineStr">
        <is>
          <t>Goodwill</t>
        </is>
      </c>
      <c r="C28" s="16" t="n">
        <v>1653822</v>
      </c>
      <c r="D28" s="16" t="n">
        <v>1656926</v>
      </c>
      <c r="E28" s="16" t="n">
        <v>1656926</v>
      </c>
      <c r="F28" s="16" t="n">
        <v>1677154</v>
      </c>
      <c r="H28" s="21" t="inlineStr">
        <is>
          <t>10-K FY2025 Consolidated Balance Sheets, FY24-25 cols; 10-K FY2023 Consolidated Balance Sheets, FY22-23 cols</t>
        </is>
      </c>
    </row>
    <row r="29">
      <c r="A29" s="6" t="inlineStr">
        <is>
          <t>Intangible assets, net</t>
        </is>
      </c>
      <c r="C29" s="16" t="n">
        <v>497951</v>
      </c>
      <c r="D29" s="16" t="n">
        <v>407530</v>
      </c>
      <c r="E29" s="16" t="n">
        <v>323068</v>
      </c>
      <c r="F29" s="16" t="n">
        <v>239760</v>
      </c>
      <c r="H29" s="21" t="inlineStr">
        <is>
          <t>10-K FY2025 Consolidated Balance Sheets, FY24-25 cols; 10-K FY2023 Consolidated Balance Sheets, FY22-23 cols</t>
        </is>
      </c>
    </row>
    <row r="30">
      <c r="A30" s="6" t="inlineStr">
        <is>
          <t>Other non-current assets (incl. ROU FY22-23)</t>
        </is>
      </c>
      <c r="C30" s="16" t="n">
        <v>70683</v>
      </c>
      <c r="D30" s="16" t="n">
        <v>57146</v>
      </c>
      <c r="E30" s="16" t="n">
        <v>84378</v>
      </c>
      <c r="F30" s="16" t="n">
        <v>76525</v>
      </c>
      <c r="H30" s="21" t="inlineStr">
        <is>
          <t>10-K FY2025 Consolidated Balance Sheets, FY24-25 cols; 10-K FY2023 Consolidated Balance Sheets, FY22-23 cols</t>
        </is>
      </c>
    </row>
    <row r="31">
      <c r="A31" s="20" t="inlineStr">
        <is>
          <t>Total assets</t>
        </is>
      </c>
      <c r="C31" s="16" t="n">
        <v>3233103</v>
      </c>
      <c r="D31" s="16" t="n">
        <v>3081900</v>
      </c>
      <c r="E31" s="16" t="n">
        <v>3228843</v>
      </c>
      <c r="F31" s="16" t="n">
        <v>3280840</v>
      </c>
      <c r="H31" s="21" t="inlineStr">
        <is>
          <t>10-K FY2025 Consolidated Balance Sheets, FY24-25 cols; 10-K FY2023 Consolidated Balance Sheets, FY22-23 cols</t>
        </is>
      </c>
    </row>
    <row r="32">
      <c r="A32" s="6" t="inlineStr">
        <is>
          <t>Accounts payable</t>
        </is>
      </c>
      <c r="C32" s="16" t="n">
        <v>406706</v>
      </c>
      <c r="D32" s="16" t="n">
        <v>453052</v>
      </c>
      <c r="E32" s="16" t="n">
        <v>547568</v>
      </c>
      <c r="F32" s="16" t="n">
        <v>557042</v>
      </c>
      <c r="H32" s="21" t="inlineStr">
        <is>
          <t>10-K FY2025 Consolidated Balance Sheets, FY24-25 cols; 10-K FY2023 Consolidated Balance Sheets, FY22-23 cols</t>
        </is>
      </c>
    </row>
    <row r="33">
      <c r="A33" s="6" t="inlineStr">
        <is>
          <t>Compensation &amp; other employee benefits</t>
        </is>
      </c>
      <c r="C33" s="16" t="n">
        <v>168038</v>
      </c>
      <c r="D33" s="16" t="n">
        <v>158088</v>
      </c>
      <c r="E33" s="16" t="n">
        <v>166918</v>
      </c>
      <c r="F33" s="16" t="n">
        <v>176530</v>
      </c>
      <c r="H33" s="21" t="inlineStr">
        <is>
          <t>10-K FY2025 Consolidated Balance Sheets, FY24-25 cols; 10-K FY2023 Consolidated Balance Sheets, FY22-23 cols</t>
        </is>
      </c>
    </row>
    <row r="34">
      <c r="A34" s="6" t="inlineStr">
        <is>
          <t>Short-term debt</t>
        </is>
      </c>
      <c r="C34" s="16" t="n">
        <v>11850</v>
      </c>
      <c r="D34" s="16" t="n">
        <v>15361</v>
      </c>
      <c r="E34" s="16" t="n">
        <v>20003</v>
      </c>
      <c r="F34" s="16" t="n">
        <v>14935</v>
      </c>
      <c r="H34" s="21" t="inlineStr">
        <is>
          <t>10-K FY2025 Consolidated Balance Sheets, FY24-25 cols; 10-K FY2023 Consolidated Balance Sheets, FY22-23 cols</t>
        </is>
      </c>
    </row>
    <row r="35">
      <c r="A35" s="6" t="inlineStr">
        <is>
          <t>Other accrued liabilities</t>
        </is>
      </c>
      <c r="C35" s="16" t="n">
        <v>196538</v>
      </c>
      <c r="D35" s="16" t="n">
        <v>213700</v>
      </c>
      <c r="E35" s="16" t="n">
        <v>261735</v>
      </c>
      <c r="F35" s="16" t="n">
        <v>267039</v>
      </c>
      <c r="H35" s="21" t="inlineStr">
        <is>
          <t>10-K FY2025 Consolidated Balance Sheets, FY24-25 cols; 10-K FY2023 Consolidated Balance Sheets, FY22-23 cols</t>
        </is>
      </c>
    </row>
    <row r="36">
      <c r="A36" s="20" t="inlineStr">
        <is>
          <t>Total current liabilities</t>
        </is>
      </c>
      <c r="C36" s="16" t="n">
        <v>783132</v>
      </c>
      <c r="D36" s="16" t="n">
        <v>840201</v>
      </c>
      <c r="E36" s="16" t="n">
        <v>996224</v>
      </c>
      <c r="F36" s="16" t="n">
        <v>1015546</v>
      </c>
      <c r="H36" s="21" t="inlineStr">
        <is>
          <t>10-K FY2025 Consolidated Balance Sheets, FY24-25 cols; 10-K FY2023 Consolidated Balance Sheets, FY22-23 cols</t>
        </is>
      </c>
    </row>
    <row r="37">
      <c r="A37" s="6" t="inlineStr">
        <is>
          <t>Long-term debt, net</t>
        </is>
      </c>
      <c r="C37" s="16" t="n">
        <v>1262811</v>
      </c>
      <c r="D37" s="16" t="n">
        <v>1100269</v>
      </c>
      <c r="E37" s="16" t="n">
        <v>1087484</v>
      </c>
      <c r="F37" s="16" t="n">
        <v>1083234</v>
      </c>
      <c r="H37" s="21" t="inlineStr">
        <is>
          <t>10-K FY2025 Consolidated Balance Sheets, FY24-25 cols; 10-K FY2023 Consolidated Balance Sheets, FY22-23 cols</t>
        </is>
      </c>
    </row>
    <row r="38">
      <c r="A38" s="6" t="inlineStr">
        <is>
          <t>Deferred tax liabilities</t>
        </is>
      </c>
      <c r="C38" s="16" t="n">
        <v>15813</v>
      </c>
      <c r="D38" s="16" t="n">
        <v>11763</v>
      </c>
      <c r="E38" s="16" t="n">
        <v>20983</v>
      </c>
      <c r="F38" s="16" t="n">
        <v>28357</v>
      </c>
      <c r="H38" s="21" t="inlineStr">
        <is>
          <t>10-K FY2025 Consolidated Balance Sheets, FY24-25 cols; 10-K FY2023 Consolidated Balance Sheets, FY22-23 cols</t>
        </is>
      </c>
    </row>
    <row r="39">
      <c r="A39" s="6" t="inlineStr">
        <is>
          <t>Other non-current liabilities (incl. op. lease liab. FY22-23)</t>
        </is>
      </c>
      <c r="C39" s="16" t="n">
        <v>174268</v>
      </c>
      <c r="D39" s="16" t="n">
        <v>138867</v>
      </c>
      <c r="E39" s="16" t="n">
        <v>98000</v>
      </c>
      <c r="F39" s="16" t="n">
        <v>69067</v>
      </c>
      <c r="H39" s="21" t="inlineStr">
        <is>
          <t>10-K FY2025 Consolidated Balance Sheets, FY24-25 cols; 10-K FY2023 Consolidated Balance Sheets, FY22-23 cols</t>
        </is>
      </c>
    </row>
    <row r="40">
      <c r="A40" s="20" t="inlineStr">
        <is>
          <t>Total liabilities</t>
        </is>
      </c>
      <c r="C40" s="16" t="n">
        <v>2236024</v>
      </c>
      <c r="D40" s="16" t="n">
        <v>2091100</v>
      </c>
      <c r="E40" s="16" t="n">
        <v>2202691</v>
      </c>
      <c r="F40" s="16" t="n">
        <v>2196204</v>
      </c>
      <c r="H40" s="21" t="inlineStr">
        <is>
          <t>10-K FY2025 Consolidated Balance Sheets, FY24-25 cols; 10-K FY2023 Consolidated Balance Sheets, FY22-23 cols</t>
        </is>
      </c>
    </row>
    <row r="41">
      <c r="A41" s="20" t="inlineStr">
        <is>
          <t>Total shareholders' equity</t>
        </is>
      </c>
      <c r="C41" s="16" t="n">
        <v>997079</v>
      </c>
      <c r="D41" s="16" t="n">
        <v>990800</v>
      </c>
      <c r="E41" s="16" t="n">
        <v>1026152</v>
      </c>
      <c r="F41" s="16" t="n">
        <v>1084636</v>
      </c>
      <c r="H41" s="21" t="inlineStr">
        <is>
          <t>10-K FY2025 Consolidated Balance Sheets, FY24-25 cols; 10-K FY2023 Consolidated Balance Sheets, FY22-23 cols</t>
        </is>
      </c>
    </row>
    <row r="42">
      <c r="A42" s="20" t="inlineStr">
        <is>
          <t>Balance check (Assets − Liabilities − Equity, should = 0)</t>
        </is>
      </c>
      <c r="C42" s="16">
        <f>C31-C40-C41</f>
        <v/>
      </c>
      <c r="D42" s="16">
        <f>D31-D40-D41</f>
        <v/>
      </c>
      <c r="E42" s="16">
        <f>E31-E40-E41</f>
        <v/>
      </c>
      <c r="F42" s="16">
        <f>F31-F40-F41</f>
        <v/>
      </c>
    </row>
    <row r="44">
      <c r="A44" s="4" t="inlineStr">
        <is>
          <t>Consolidated Statements of Cash Flows ($000s)</t>
        </is>
      </c>
      <c r="B44" s="5" t="n"/>
      <c r="C44" s="5" t="n"/>
      <c r="D44" s="5" t="n"/>
      <c r="E44" s="5" t="n"/>
      <c r="F44" s="5" t="n"/>
      <c r="G44" s="5" t="n"/>
      <c r="H44" s="5" t="n"/>
    </row>
    <row r="45">
      <c r="B45" s="14" t="inlineStr">
        <is>
          <t>FY2021</t>
        </is>
      </c>
      <c r="C45" s="14" t="inlineStr">
        <is>
          <t>FY2022</t>
        </is>
      </c>
      <c r="D45" s="14" t="inlineStr">
        <is>
          <t>FY2023</t>
        </is>
      </c>
      <c r="E45" s="14" t="inlineStr">
        <is>
          <t>FY2024</t>
        </is>
      </c>
      <c r="F45" s="14" t="inlineStr">
        <is>
          <t>FY2025</t>
        </is>
      </c>
      <c r="H45" s="19" t="inlineStr">
        <is>
          <t>Source</t>
        </is>
      </c>
    </row>
    <row r="46">
      <c r="A46" s="6" t="inlineStr">
        <is>
          <t>Depreciation expense</t>
        </is>
      </c>
      <c r="B46" s="16" t="n">
        <v>6526</v>
      </c>
      <c r="C46" s="16" t="n">
        <v>13472</v>
      </c>
      <c r="D46" s="16" t="n">
        <v>22408</v>
      </c>
      <c r="E46" s="16" t="n">
        <v>20747</v>
      </c>
      <c r="F46" s="16" t="n">
        <v>16984</v>
      </c>
      <c r="H46" s="21" t="inlineStr">
        <is>
          <t>10-K FY2025 Consolidated Statements of Cash Flows, FY23-25 cols; 10-K FY2023 Consolidated Statements of Cash Flows, FY21-23 cols</t>
        </is>
      </c>
    </row>
    <row r="47">
      <c r="A47" s="6" t="inlineStr">
        <is>
          <t>Amortization of intangible assets</t>
        </is>
      </c>
      <c r="B47" s="16" t="n">
        <v>10028</v>
      </c>
      <c r="C47" s="16" t="n">
        <v>48643</v>
      </c>
      <c r="D47" s="16" t="n">
        <v>90423</v>
      </c>
      <c r="E47" s="16" t="n">
        <v>90821</v>
      </c>
      <c r="F47" s="16" t="n">
        <v>90621</v>
      </c>
      <c r="H47" s="21" t="inlineStr">
        <is>
          <t>10-K FY2025 Consolidated Statements of Cash Flows, FY23-25 cols; 10-K FY2023 Consolidated Statements of Cash Flows, FY21-23 cols</t>
        </is>
      </c>
    </row>
    <row r="48">
      <c r="A48" s="6" t="inlineStr">
        <is>
          <t>Amortization of cloud computing arrangements</t>
        </is>
      </c>
      <c r="B48" s="16" t="n">
        <v>0</v>
      </c>
      <c r="C48" s="16" t="n">
        <v>0</v>
      </c>
      <c r="D48" s="16" t="n">
        <v>480</v>
      </c>
      <c r="E48" s="16" t="n">
        <v>3314</v>
      </c>
      <c r="F48" s="16" t="n">
        <v>4919</v>
      </c>
      <c r="H48" s="21" t="inlineStr">
        <is>
          <t>10-K FY2025 Consolidated Statements of Cash Flows, FY23-25 cols; 10-K FY2023 Consolidated Statements of Cash Flows, FY21-23 cols</t>
        </is>
      </c>
    </row>
    <row r="49">
      <c r="A49" s="6" t="inlineStr">
        <is>
          <t>Capital expenditures (purchases of capital assets &amp; intangibles)</t>
        </is>
      </c>
      <c r="B49" s="16" t="n">
        <v>9776</v>
      </c>
      <c r="C49" s="16" t="n">
        <v>12425</v>
      </c>
      <c r="D49" s="16" t="n">
        <v>25021</v>
      </c>
      <c r="E49" s="16" t="n">
        <v>11787</v>
      </c>
      <c r="F49" s="16" t="n">
        <v>11923</v>
      </c>
      <c r="H49" s="21" t="inlineStr">
        <is>
          <t>10-K FY2025 Consolidated Statements of Cash Flows, FY23-25 cols; 10-K FY2023 Consolidated Statements of Cash Flows, FY21-23 cols</t>
        </is>
      </c>
    </row>
    <row r="50">
      <c r="A50" s="6" t="inlineStr">
        <is>
          <t>Net cash provided by operating activities</t>
        </is>
      </c>
      <c r="B50" s="16" t="n">
        <v>61339</v>
      </c>
      <c r="C50" s="16" t="n">
        <v>93495</v>
      </c>
      <c r="D50" s="16" t="n">
        <v>187968</v>
      </c>
      <c r="E50" s="16" t="n">
        <v>254237</v>
      </c>
      <c r="F50" s="16" t="n">
        <v>181992</v>
      </c>
      <c r="H50" s="21" t="inlineStr">
        <is>
          <t>10-K FY2025 Consolidated Statements of Cash Flows, FY23-25 cols; 10-K FY2023 Consolidated Statements of Cash Flows, FY21-23 cols</t>
        </is>
      </c>
    </row>
    <row r="52">
      <c r="A52" s="4" t="inlineStr">
        <is>
          <t>Computed Metrics (formulas referencing rows above — not separately sourced)</t>
        </is>
      </c>
      <c r="B52" s="5" t="n"/>
      <c r="C52" s="5" t="n"/>
      <c r="D52" s="5" t="n"/>
      <c r="E52" s="5" t="n"/>
      <c r="F52" s="5" t="n"/>
      <c r="G52" s="5" t="n"/>
      <c r="H52" s="5" t="n"/>
    </row>
    <row r="53">
      <c r="B53" s="14" t="inlineStr">
        <is>
          <t>FY2021</t>
        </is>
      </c>
      <c r="C53" s="14" t="inlineStr">
        <is>
          <t>FY2022</t>
        </is>
      </c>
      <c r="D53" s="14" t="inlineStr">
        <is>
          <t>FY2023</t>
        </is>
      </c>
      <c r="E53" s="14" t="inlineStr">
        <is>
          <t>FY2024</t>
        </is>
      </c>
      <c r="F53" s="14" t="inlineStr">
        <is>
          <t>FY2025</t>
        </is>
      </c>
    </row>
    <row r="54">
      <c r="A54" s="19" t="inlineStr">
        <is>
          <t>EBITDA (= Operating income + D&amp;A)</t>
        </is>
      </c>
      <c r="B54" s="22">
        <f>B13+B46+B47+B48</f>
        <v/>
      </c>
      <c r="C54" s="22">
        <f>C13+C46+C47+C48</f>
        <v/>
      </c>
      <c r="D54" s="22">
        <f>D13+D46+D47+D48</f>
        <v/>
      </c>
      <c r="E54" s="22">
        <f>E13+E46+E47+E48</f>
        <v/>
      </c>
      <c r="F54" s="22">
        <f>F13+F46+F47+F48</f>
        <v/>
      </c>
    </row>
    <row r="55">
      <c r="A55" s="6" t="inlineStr">
        <is>
          <t>EBITDA margin %</t>
        </is>
      </c>
      <c r="B55" s="23">
        <f>B54/B10</f>
        <v/>
      </c>
      <c r="C55" s="23">
        <f>C54/C10</f>
        <v/>
      </c>
      <c r="D55" s="23">
        <f>D54/D10</f>
        <v/>
      </c>
      <c r="E55" s="23">
        <f>E54/E10</f>
        <v/>
      </c>
      <c r="F55" s="23">
        <f>F54/F10</f>
        <v/>
      </c>
    </row>
    <row r="56">
      <c r="A56" s="6" t="inlineStr">
        <is>
          <t>Net working capital (Receiv.+Prepaid&amp;other−AP−Comp−Other accrued)</t>
        </is>
      </c>
      <c r="C56" s="16">
        <f>C24+C25-C32-C33-C35</f>
        <v/>
      </c>
      <c r="D56" s="16">
        <f>D24+D25-D32-D33-D35</f>
        <v/>
      </c>
      <c r="E56" s="16">
        <f>E24+E25-E32-E33-E35</f>
        <v/>
      </c>
      <c r="F56" s="16">
        <f>F24+F25-F32-F33-F35</f>
        <v/>
      </c>
    </row>
    <row r="57">
      <c r="A57" s="6" t="inlineStr">
        <is>
          <t>Net working capital (% of revenue)</t>
        </is>
      </c>
      <c r="C57" s="23">
        <f>C56/C10</f>
        <v/>
      </c>
      <c r="D57" s="23">
        <f>D56/D10</f>
        <v/>
      </c>
      <c r="E57" s="23">
        <f>E56/E10</f>
        <v/>
      </c>
      <c r="F57" s="23">
        <f>F56/F10</f>
        <v/>
      </c>
    </row>
    <row r="59">
      <c r="A59" s="4" t="inlineStr">
        <is>
          <t>LBO Entry Reference — Funded Debt &amp; Cash at Close (12/31/2025)</t>
        </is>
      </c>
      <c r="B59" s="5" t="n"/>
      <c r="C59" s="5" t="n"/>
      <c r="D59" s="5" t="n"/>
      <c r="E59" s="5" t="n"/>
      <c r="F59" s="5" t="n"/>
      <c r="G59" s="5" t="n"/>
      <c r="H59" s="5" t="n"/>
    </row>
    <row r="60">
      <c r="A60" s="6" t="inlineStr">
        <is>
          <t>Existing funded debt principal (First Lien TLB + 2023/2025 Term Loan)</t>
        </is>
      </c>
      <c r="B60" s="16" t="n">
        <v>1123819</v>
      </c>
      <c r="H60" s="3" t="inlineStr">
        <is>
          <t>10-K FY2025 Note DEBT — Schedule of Maturities of Term Facility (Details); ties to Short-term debt of $14,935K on balance sheet for the 2026 maturity</t>
        </is>
      </c>
    </row>
    <row r="61">
      <c r="A61" s="6" t="inlineStr">
        <is>
          <t>Existing cash, cash equivalents &amp; restricted cash</t>
        </is>
      </c>
      <c r="B61" s="17">
        <f>F23</f>
        <v/>
      </c>
    </row>
    <row r="62">
      <c r="A62" s="19" t="inlineStr">
        <is>
          <t>Existing net debt (principal basis)</t>
        </is>
      </c>
      <c r="B62" s="22">
        <f>B60-B61</f>
        <v/>
      </c>
    </row>
    <row r="63">
      <c r="A63" s="19" t="inlineStr">
        <is>
          <t>FY2025A EBITDA (entry EBITDA for the LBO)</t>
        </is>
      </c>
      <c r="B63" s="24">
        <f>F54</f>
        <v/>
      </c>
    </row>
  </sheetData>
  <mergeCells count="7">
    <mergeCell ref="A21:H21"/>
    <mergeCell ref="A59:H59"/>
    <mergeCell ref="A2:H2"/>
    <mergeCell ref="A52:H52"/>
    <mergeCell ref="A44:H44"/>
    <mergeCell ref="A1:H1"/>
    <mergeCell ref="A8:H8"/>
  </mergeCells>
  <conditionalFormatting sqref="C42">
    <cfRule type="cellIs" priority="1" operator="notEqual" dxfId="0">
      <formula>0</formula>
    </cfRule>
    <cfRule type="cellIs" priority="2" operator="equal" dxfId="1">
      <formula>0</formula>
    </cfRule>
  </conditionalFormatting>
  <conditionalFormatting sqref="D42">
    <cfRule type="cellIs" priority="3" operator="notEqual" dxfId="0">
      <formula>0</formula>
    </cfRule>
    <cfRule type="cellIs" priority="4" operator="equal" dxfId="1">
      <formula>0</formula>
    </cfRule>
  </conditionalFormatting>
  <conditionalFormatting sqref="E42">
    <cfRule type="cellIs" priority="5" operator="notEqual" dxfId="0">
      <formula>0</formula>
    </cfRule>
    <cfRule type="cellIs" priority="6" operator="equal" dxfId="1">
      <formula>0</formula>
    </cfRule>
  </conditionalFormatting>
  <conditionalFormatting sqref="F42">
    <cfRule type="cellIs" priority="7" operator="notEqual" dxfId="0">
      <formula>0</formula>
    </cfRule>
    <cfRule type="cellIs" priority="8" operator="equal" dxfId="1">
      <formula>0</formula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3" customWidth="1" min="3" max="3"/>
    <col width="46" customWidth="1" min="4" max="4"/>
    <col width="15" customWidth="1" min="5" max="5"/>
  </cols>
  <sheetData>
    <row r="1" ht="22" customHeight="1">
      <c r="A1" s="1" t="inlineStr">
        <is>
          <t>V2X, Inc. (NYSE: VVX) — Sources &amp; Uses</t>
        </is>
      </c>
      <c r="B1" s="2" t="n"/>
      <c r="C1" s="2" t="n"/>
      <c r="D1" s="2" t="n"/>
      <c r="E1" s="2" t="n"/>
    </row>
    <row r="2">
      <c r="A2" s="3" t="inlineStr">
        <is>
          <t>$ in millions. All cells are formulas referencing the Assumptions and Historical Financials tabs.</t>
        </is>
      </c>
    </row>
    <row r="4">
      <c r="A4" s="4" t="inlineStr">
        <is>
          <t>Transaction Value</t>
        </is>
      </c>
      <c r="B4" s="5" t="n"/>
      <c r="C4" s="5" t="n"/>
      <c r="D4" s="5" t="n"/>
      <c r="E4" s="5" t="n"/>
    </row>
    <row r="5">
      <c r="A5" s="6" t="inlineStr">
        <is>
          <t>Entry EBITDA (FY2025A)</t>
        </is>
      </c>
      <c r="B5" s="25">
        <f>'Historical Financials'!B63/1000</f>
        <v/>
      </c>
    </row>
    <row r="6">
      <c r="A6" s="6" t="inlineStr">
        <is>
          <t>Entry TEV / EBITDA multiple</t>
        </is>
      </c>
      <c r="B6" s="26">
        <f>Assumptions!B6</f>
        <v/>
      </c>
    </row>
    <row r="7">
      <c r="A7" s="19" t="inlineStr">
        <is>
          <t>Entry TEV</t>
        </is>
      </c>
      <c r="B7" s="27">
        <f>B5*B6</f>
        <v/>
      </c>
    </row>
    <row r="8">
      <c r="A8" s="6" t="inlineStr">
        <is>
          <t>Less: existing net debt (principal basis)</t>
        </is>
      </c>
      <c r="B8" s="25">
        <f>'Historical Financials'!B62/1000</f>
        <v/>
      </c>
    </row>
    <row r="9">
      <c r="A9" s="19" t="inlineStr">
        <is>
          <t>Equity purchase price</t>
        </is>
      </c>
      <c r="B9" s="27">
        <f>B7-B8</f>
        <v/>
      </c>
    </row>
    <row r="11">
      <c r="A11" s="4" t="inlineStr">
        <is>
          <t>Financing Structure (computed here, used throughout model)</t>
        </is>
      </c>
      <c r="B11" s="5" t="n"/>
      <c r="C11" s="5" t="n"/>
      <c r="D11" s="5" t="n"/>
      <c r="E11" s="5" t="n"/>
    </row>
    <row r="12">
      <c r="A12" s="6" t="inlineStr">
        <is>
          <t>New Term Loan B</t>
        </is>
      </c>
      <c r="B12" s="28">
        <f>B5*Assumptions!B15</f>
        <v/>
      </c>
    </row>
    <row r="13">
      <c r="A13" s="6" t="inlineStr">
        <is>
          <t>New Senior Notes</t>
        </is>
      </c>
      <c r="B13" s="28">
        <f>B5*Assumptions!B16</f>
        <v/>
      </c>
    </row>
    <row r="14">
      <c r="A14" s="19" t="inlineStr">
        <is>
          <t>Total new debt raised</t>
        </is>
      </c>
      <c r="B14" s="27">
        <f>B12+B13</f>
        <v/>
      </c>
    </row>
    <row r="15">
      <c r="A15" s="6" t="inlineStr">
        <is>
          <t>Total new debt / Entry EBITDA</t>
        </is>
      </c>
      <c r="B15" s="18">
        <f>B14/B5</f>
        <v/>
      </c>
    </row>
    <row r="17">
      <c r="A17" s="4" t="inlineStr">
        <is>
          <t>Uses</t>
        </is>
      </c>
      <c r="B17" s="5" t="n"/>
      <c r="C17" s="5" t="n"/>
      <c r="D17" s="5" t="n"/>
      <c r="E17" s="5" t="n"/>
    </row>
    <row r="18">
      <c r="A18" s="6" t="inlineStr">
        <is>
          <t>Equity purchase price</t>
        </is>
      </c>
      <c r="B18" s="25">
        <f>B9</f>
        <v/>
      </c>
    </row>
    <row r="19">
      <c r="A19" s="6" t="inlineStr">
        <is>
          <t>Refinance existing debt (gross principal)</t>
        </is>
      </c>
      <c r="B19" s="25">
        <f>'Historical Financials'!B60/1000</f>
        <v/>
      </c>
    </row>
    <row r="20">
      <c r="A20" s="6" t="inlineStr">
        <is>
          <t>Transaction fees</t>
        </is>
      </c>
      <c r="B20" s="28">
        <f>B7*Assumptions!B7</f>
        <v/>
      </c>
    </row>
    <row r="21">
      <c r="A21" s="6" t="inlineStr">
        <is>
          <t>Financing fees</t>
        </is>
      </c>
      <c r="B21" s="28">
        <f>B14*Assumptions!B8</f>
        <v/>
      </c>
    </row>
    <row r="22">
      <c r="A22" s="6" t="inlineStr">
        <is>
          <t>Minimum cash funded at close</t>
        </is>
      </c>
      <c r="B22" s="25">
        <f>Assumptions!B9/1000</f>
        <v/>
      </c>
    </row>
    <row r="23">
      <c r="A23" s="29" t="inlineStr">
        <is>
          <t>Total Uses</t>
        </is>
      </c>
      <c r="B23" s="30">
        <f>SUM(B18:B22)</f>
        <v/>
      </c>
    </row>
    <row r="25">
      <c r="A25" s="4" t="inlineStr">
        <is>
          <t>Sources</t>
        </is>
      </c>
      <c r="B25" s="5" t="n"/>
      <c r="C25" s="5" t="n"/>
      <c r="D25" s="5" t="n"/>
      <c r="E25" s="5" t="n"/>
    </row>
    <row r="26">
      <c r="A26" s="6" t="inlineStr">
        <is>
          <t>Existing cash swept from target balance sheet</t>
        </is>
      </c>
      <c r="B26" s="25">
        <f>'Historical Financials'!B61/1000</f>
        <v/>
      </c>
    </row>
    <row r="27">
      <c r="A27" s="6" t="inlineStr">
        <is>
          <t>New Term Loan B</t>
        </is>
      </c>
      <c r="B27" s="28">
        <f>B12</f>
        <v/>
      </c>
    </row>
    <row r="28">
      <c r="A28" s="6" t="inlineStr">
        <is>
          <t>New Senior Notes</t>
        </is>
      </c>
      <c r="B28" s="28">
        <f>B13</f>
        <v/>
      </c>
    </row>
    <row r="29">
      <c r="A29" s="6" t="inlineStr">
        <is>
          <t>Revolver draw at close (undrawn)</t>
        </is>
      </c>
      <c r="B29" s="28" t="n">
        <v>0</v>
      </c>
    </row>
    <row r="30">
      <c r="A30" s="19" t="inlineStr">
        <is>
          <t>Sponsor equity (plug)</t>
        </is>
      </c>
      <c r="B30" s="27">
        <f>B23-SUM(B26:B29)</f>
        <v/>
      </c>
    </row>
    <row r="31">
      <c r="A31" s="29" t="inlineStr">
        <is>
          <t>Total Sources</t>
        </is>
      </c>
      <c r="B31" s="30">
        <f>SUM(B26:B30)</f>
        <v/>
      </c>
    </row>
    <row r="32">
      <c r="A32" s="19" t="inlineStr">
        <is>
          <t>CHECK: Total Sources − Total Uses (must = 0)</t>
        </is>
      </c>
      <c r="B32" s="27">
        <f>B31-B23</f>
        <v/>
      </c>
    </row>
    <row r="34">
      <c r="A34" s="4" t="inlineStr">
        <is>
          <t>Capitalization Summary</t>
        </is>
      </c>
      <c r="B34" s="5" t="n"/>
      <c r="C34" s="5" t="n"/>
      <c r="D34" s="5" t="n"/>
      <c r="E34" s="5" t="n"/>
    </row>
    <row r="35">
      <c r="A35" s="6" t="inlineStr">
        <is>
          <t>Sponsor equity / Entry TEV</t>
        </is>
      </c>
      <c r="B35" s="23">
        <f>B30/B7</f>
        <v/>
      </c>
    </row>
    <row r="36">
      <c r="A36" s="19" t="inlineStr">
        <is>
          <t>Opening net debt at close (new debt − minimum cash)</t>
        </is>
      </c>
      <c r="B36" s="27">
        <f>B14-B22</f>
        <v/>
      </c>
    </row>
    <row r="37">
      <c r="A37" s="6" t="inlineStr">
        <is>
          <t>Opening total debt / Entry EBITDA</t>
        </is>
      </c>
      <c r="B37" s="18">
        <f>B14/B5</f>
        <v/>
      </c>
    </row>
    <row r="38">
      <c r="A38" s="6" t="inlineStr">
        <is>
          <t>Opening net debt / Entry EBITDA</t>
        </is>
      </c>
      <c r="B38" s="18">
        <f>B36/B5</f>
        <v/>
      </c>
    </row>
  </sheetData>
  <mergeCells count="7">
    <mergeCell ref="A34:E34"/>
    <mergeCell ref="A4:E4"/>
    <mergeCell ref="A2:E2"/>
    <mergeCell ref="A25:E25"/>
    <mergeCell ref="A11:E11"/>
    <mergeCell ref="A1:E1"/>
    <mergeCell ref="A17:E17"/>
  </mergeCells>
  <conditionalFormatting sqref="B32">
    <cfRule type="cellIs" priority="1" operator="notEqual" dxfId="0">
      <formula>0</formula>
    </cfRule>
    <cfRule type="cellIs" priority="2" operator="equal" dxfId="1">
      <formula>0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V2X, Inc. (NYSE: VVX) — Debt Schedule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$ in millions. Interest computed on beginning-of-year balances (documented convention; avoids circularity -- no iterative calculation needed). Average balances shown as a memo only.</t>
        </is>
      </c>
    </row>
    <row r="5">
      <c r="A5" s="6" t="inlineStr"/>
      <c r="B5" s="14" t="inlineStr">
        <is>
          <t>At Close</t>
        </is>
      </c>
      <c r="C5" s="14" t="inlineStr">
        <is>
          <t>FY2026</t>
        </is>
      </c>
      <c r="D5" s="14" t="inlineStr">
        <is>
          <t>FY2027</t>
        </is>
      </c>
      <c r="E5" s="14" t="inlineStr">
        <is>
          <t>FY2028</t>
        </is>
      </c>
      <c r="F5" s="14" t="inlineStr">
        <is>
          <t>FY2029</t>
        </is>
      </c>
      <c r="G5" s="14" t="inlineStr">
        <is>
          <t>FY2030</t>
        </is>
      </c>
    </row>
    <row r="7">
      <c r="A7" s="4" t="inlineStr">
        <is>
          <t>Cash Flow Available for Debt Service</t>
        </is>
      </c>
      <c r="B7" s="5" t="n"/>
      <c r="C7" s="5" t="n"/>
      <c r="D7" s="5" t="n"/>
      <c r="E7" s="5" t="n"/>
      <c r="F7" s="5" t="n"/>
      <c r="G7" s="5" t="n"/>
    </row>
    <row r="8">
      <c r="A8" s="6" t="inlineStr">
        <is>
          <t>Beginning cash balance</t>
        </is>
      </c>
      <c r="B8" s="25">
        <f>'Sources &amp; Uses'!B22</f>
        <v/>
      </c>
      <c r="C8" s="28">
        <f>B8</f>
        <v/>
      </c>
      <c r="D8" s="28">
        <f>C39</f>
        <v/>
      </c>
      <c r="E8" s="28">
        <f>D39</f>
        <v/>
      </c>
      <c r="F8" s="28">
        <f>E39</f>
        <v/>
      </c>
      <c r="G8" s="28">
        <f>F39</f>
        <v/>
      </c>
    </row>
    <row r="9">
      <c r="A9" s="6" t="inlineStr">
        <is>
          <t>Levered FCF before debt service (CFADS)</t>
        </is>
      </c>
      <c r="C9" s="25">
        <f>'Free Cash Flow'!C10</f>
        <v/>
      </c>
      <c r="D9" s="25">
        <f>'Free Cash Flow'!D10</f>
        <v/>
      </c>
      <c r="E9" s="25">
        <f>'Free Cash Flow'!E10</f>
        <v/>
      </c>
      <c r="F9" s="25">
        <f>'Free Cash Flow'!F10</f>
        <v/>
      </c>
      <c r="G9" s="25">
        <f>'Free Cash Flow'!G10</f>
        <v/>
      </c>
    </row>
    <row r="10">
      <c r="A10" s="6" t="inlineStr">
        <is>
          <t>Less: mandatory amortization — Term Loan B</t>
        </is>
      </c>
      <c r="C10" s="28">
        <f>C23</f>
        <v/>
      </c>
      <c r="D10" s="28">
        <f>D23</f>
        <v/>
      </c>
      <c r="E10" s="28">
        <f>E23</f>
        <v/>
      </c>
      <c r="F10" s="28">
        <f>F23</f>
        <v/>
      </c>
      <c r="G10" s="28">
        <f>G23</f>
        <v/>
      </c>
    </row>
    <row r="11">
      <c r="A11" s="6" t="inlineStr">
        <is>
          <t>Less: mandatory amortization — Senior Notes (bullet)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</row>
    <row r="12">
      <c r="A12" s="19" t="inlineStr">
        <is>
          <t>Cash flow before revolver activity (vs. min. cash target)</t>
        </is>
      </c>
      <c r="C12" s="27">
        <f>C8+C9-C10-C11-Assumptions!$B$9/1000</f>
        <v/>
      </c>
      <c r="D12" s="27">
        <f>D8+D9-D10-D11-Assumptions!$B$9/1000</f>
        <v/>
      </c>
      <c r="E12" s="27">
        <f>E8+E9-E10-E11-Assumptions!$B$9/1000</f>
        <v/>
      </c>
      <c r="F12" s="27">
        <f>F8+F9-F10-F11-Assumptions!$B$9/1000</f>
        <v/>
      </c>
      <c r="G12" s="27">
        <f>G8+G9-G10-G11-Assumptions!$B$9/1000</f>
        <v/>
      </c>
    </row>
    <row r="14">
      <c r="A14" s="4" t="inlineStr">
        <is>
          <t>Revolver</t>
        </is>
      </c>
      <c r="B14" s="5" t="n"/>
      <c r="C14" s="5" t="n"/>
      <c r="D14" s="5" t="n"/>
      <c r="E14" s="5" t="n"/>
      <c r="F14" s="5" t="n"/>
      <c r="G14" s="5" t="n"/>
    </row>
    <row r="15">
      <c r="A15" s="6" t="inlineStr">
        <is>
          <t>Beginning balance</t>
        </is>
      </c>
      <c r="B15" s="25">
        <f>'Sources &amp; Uses'!B29</f>
        <v/>
      </c>
      <c r="C15" s="28">
        <f>B15</f>
        <v/>
      </c>
      <c r="D15" s="28">
        <f>C17</f>
        <v/>
      </c>
      <c r="E15" s="28">
        <f>D17</f>
        <v/>
      </c>
      <c r="F15" s="28">
        <f>E17</f>
        <v/>
      </c>
      <c r="G15" s="28">
        <f>F17</f>
        <v/>
      </c>
    </row>
    <row r="16">
      <c r="A16" s="6" t="inlineStr">
        <is>
          <t>Draw / (Paydown)</t>
        </is>
      </c>
      <c r="C16" s="28">
        <f>IF(C12&lt;0,-C12,-MIN(C15,MAX(0,C12)))</f>
        <v/>
      </c>
      <c r="D16" s="28">
        <f>IF(D12&lt;0,-D12,-MIN(D15,MAX(0,D12)))</f>
        <v/>
      </c>
      <c r="E16" s="28">
        <f>IF(E12&lt;0,-E12,-MIN(E15,MAX(0,E12)))</f>
        <v/>
      </c>
      <c r="F16" s="28">
        <f>IF(F12&lt;0,-F12,-MIN(F15,MAX(0,F12)))</f>
        <v/>
      </c>
      <c r="G16" s="28">
        <f>IF(G12&lt;0,-G12,-MIN(G15,MAX(0,G12)))</f>
        <v/>
      </c>
    </row>
    <row r="17">
      <c r="A17" s="6" t="inlineStr">
        <is>
          <t>Ending balance</t>
        </is>
      </c>
      <c r="C17" s="28">
        <f>C15+C16</f>
        <v/>
      </c>
      <c r="D17" s="28">
        <f>D15+D16</f>
        <v/>
      </c>
      <c r="E17" s="28">
        <f>E15+E16</f>
        <v/>
      </c>
      <c r="F17" s="28">
        <f>F15+F16</f>
        <v/>
      </c>
      <c r="G17" s="28">
        <f>G15+G16</f>
        <v/>
      </c>
    </row>
    <row r="18">
      <c r="A18" s="6" t="inlineStr">
        <is>
          <t>Average balance (memo only; interest uses beginning balance below)</t>
        </is>
      </c>
      <c r="C18" s="28">
        <f>(C15+C17)/2</f>
        <v/>
      </c>
      <c r="D18" s="28">
        <f>(D15+D17)/2</f>
        <v/>
      </c>
      <c r="E18" s="28">
        <f>(E15+E17)/2</f>
        <v/>
      </c>
      <c r="F18" s="28">
        <f>(F15+F17)/2</f>
        <v/>
      </c>
      <c r="G18" s="28">
        <f>(G15+G17)/2</f>
        <v/>
      </c>
    </row>
    <row r="19">
      <c r="A19" s="6" t="inlineStr">
        <is>
          <t>Interest expense on beginning balance (incl. commitment fee on undrawn)</t>
        </is>
      </c>
      <c r="C19" s="28">
        <f>C15*Assumptions!$B$20+(Assumptions!$B$17/1000-C15)*Assumptions!$B$21</f>
        <v/>
      </c>
      <c r="D19" s="28">
        <f>D15*Assumptions!$B$20+(Assumptions!$B$17/1000-D15)*Assumptions!$B$21</f>
        <v/>
      </c>
      <c r="E19" s="28">
        <f>E15*Assumptions!$B$20+(Assumptions!$B$17/1000-E15)*Assumptions!$B$21</f>
        <v/>
      </c>
      <c r="F19" s="28">
        <f>F15*Assumptions!$B$20+(Assumptions!$B$17/1000-F15)*Assumptions!$B$21</f>
        <v/>
      </c>
      <c r="G19" s="28">
        <f>G15*Assumptions!$B$20+(Assumptions!$B$17/1000-G15)*Assumptions!$B$21</f>
        <v/>
      </c>
    </row>
    <row r="21">
      <c r="A21" s="4" t="inlineStr">
        <is>
          <t>Term Loan B</t>
        </is>
      </c>
      <c r="B21" s="5" t="n"/>
      <c r="C21" s="5" t="n"/>
      <c r="D21" s="5" t="n"/>
      <c r="E21" s="5" t="n"/>
      <c r="F21" s="5" t="n"/>
      <c r="G21" s="5" t="n"/>
    </row>
    <row r="22">
      <c r="A22" s="6" t="inlineStr">
        <is>
          <t>Beginning balance</t>
        </is>
      </c>
      <c r="B22" s="25">
        <f>'Sources &amp; Uses'!B27</f>
        <v/>
      </c>
      <c r="C22" s="28">
        <f>B22</f>
        <v/>
      </c>
      <c r="D22" s="28">
        <f>C25</f>
        <v/>
      </c>
      <c r="E22" s="28">
        <f>D25</f>
        <v/>
      </c>
      <c r="F22" s="28">
        <f>E25</f>
        <v/>
      </c>
      <c r="G22" s="28">
        <f>F25</f>
        <v/>
      </c>
    </row>
    <row r="23">
      <c r="A23" s="6" t="inlineStr">
        <is>
          <t>Mandatory amortization (1.00% of original principal p.a.)</t>
        </is>
      </c>
      <c r="C23" s="28">
        <f>MIN(C22,Assumptions!$B$22*$B$22)</f>
        <v/>
      </c>
      <c r="D23" s="28">
        <f>MIN(D22,Assumptions!$B$22*$B$22)</f>
        <v/>
      </c>
      <c r="E23" s="28">
        <f>MIN(E22,Assumptions!$B$22*$B$22)</f>
        <v/>
      </c>
      <c r="F23" s="28">
        <f>MIN(F22,Assumptions!$B$22*$B$22)</f>
        <v/>
      </c>
      <c r="G23" s="28">
        <f>MIN(G22,Assumptions!$B$22*$B$22)</f>
        <v/>
      </c>
    </row>
    <row r="24">
      <c r="A24" s="6" t="inlineStr">
        <is>
          <t>Optional cash flow sweep</t>
        </is>
      </c>
      <c r="C24" s="28">
        <f>MIN(MAX(0,C22-C23),Assumptions!$B$23*MAX(0,C12-C15))</f>
        <v/>
      </c>
      <c r="D24" s="28">
        <f>MIN(MAX(0,D22-D23),Assumptions!$B$23*MAX(0,D12-D15))</f>
        <v/>
      </c>
      <c r="E24" s="28">
        <f>MIN(MAX(0,E22-E23),Assumptions!$B$23*MAX(0,E12-E15))</f>
        <v/>
      </c>
      <c r="F24" s="28">
        <f>MIN(MAX(0,F22-F23),Assumptions!$B$23*MAX(0,F12-F15))</f>
        <v/>
      </c>
      <c r="G24" s="28">
        <f>MIN(MAX(0,G22-G23),Assumptions!$B$23*MAX(0,G12-G15))</f>
        <v/>
      </c>
    </row>
    <row r="25">
      <c r="A25" s="6" t="inlineStr">
        <is>
          <t>Ending balance</t>
        </is>
      </c>
      <c r="C25" s="28">
        <f>C22-C23-C24</f>
        <v/>
      </c>
      <c r="D25" s="28">
        <f>D22-D23-D24</f>
        <v/>
      </c>
      <c r="E25" s="28">
        <f>E22-E23-E24</f>
        <v/>
      </c>
      <c r="F25" s="28">
        <f>F22-F23-F24</f>
        <v/>
      </c>
      <c r="G25" s="28">
        <f>G22-G23-G24</f>
        <v/>
      </c>
    </row>
    <row r="26">
      <c r="A26" s="6" t="inlineStr">
        <is>
          <t>Average balance (memo only; interest uses beginning balance below)</t>
        </is>
      </c>
      <c r="C26" s="28">
        <f>(C22+C25)/2</f>
        <v/>
      </c>
      <c r="D26" s="28">
        <f>(D22+D25)/2</f>
        <v/>
      </c>
      <c r="E26" s="28">
        <f>(E22+E25)/2</f>
        <v/>
      </c>
      <c r="F26" s="28">
        <f>(F22+F25)/2</f>
        <v/>
      </c>
      <c r="G26" s="28">
        <f>(G22+G25)/2</f>
        <v/>
      </c>
    </row>
    <row r="27">
      <c r="A27" s="6" t="inlineStr">
        <is>
          <t>Interest expense on beginning balance</t>
        </is>
      </c>
      <c r="C27" s="28">
        <f>C22*Assumptions!$B$18</f>
        <v/>
      </c>
      <c r="D27" s="28">
        <f>D22*Assumptions!$B$18</f>
        <v/>
      </c>
      <c r="E27" s="28">
        <f>E22*Assumptions!$B$18</f>
        <v/>
      </c>
      <c r="F27" s="28">
        <f>F22*Assumptions!$B$18</f>
        <v/>
      </c>
      <c r="G27" s="28">
        <f>G22*Assumptions!$B$18</f>
        <v/>
      </c>
    </row>
    <row r="29">
      <c r="A29" s="4" t="inlineStr">
        <is>
          <t>Senior Notes</t>
        </is>
      </c>
      <c r="B29" s="5" t="n"/>
      <c r="C29" s="5" t="n"/>
      <c r="D29" s="5" t="n"/>
      <c r="E29" s="5" t="n"/>
      <c r="F29" s="5" t="n"/>
      <c r="G29" s="5" t="n"/>
    </row>
    <row r="30">
      <c r="A30" s="6" t="inlineStr">
        <is>
          <t>Beginning balance</t>
        </is>
      </c>
      <c r="B30" s="25">
        <f>'Sources &amp; Uses'!B28</f>
        <v/>
      </c>
      <c r="C30" s="28">
        <f>B30</f>
        <v/>
      </c>
      <c r="D30" s="28">
        <f>C32</f>
        <v/>
      </c>
      <c r="E30" s="28">
        <f>D32</f>
        <v/>
      </c>
      <c r="F30" s="28">
        <f>E32</f>
        <v/>
      </c>
      <c r="G30" s="28">
        <f>F32</f>
        <v/>
      </c>
    </row>
    <row r="31">
      <c r="A31" s="6" t="inlineStr">
        <is>
          <t>Mandatory amortization (bullet at maturity)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0</v>
      </c>
    </row>
    <row r="32">
      <c r="A32" s="6" t="inlineStr">
        <is>
          <t>Ending balance</t>
        </is>
      </c>
      <c r="C32" s="28">
        <f>C30-C31</f>
        <v/>
      </c>
      <c r="D32" s="28">
        <f>D30-D31</f>
        <v/>
      </c>
      <c r="E32" s="28">
        <f>E30-E31</f>
        <v/>
      </c>
      <c r="F32" s="28">
        <f>F30-F31</f>
        <v/>
      </c>
      <c r="G32" s="28">
        <f>G30-G31</f>
        <v/>
      </c>
    </row>
    <row r="33">
      <c r="A33" s="6" t="inlineStr">
        <is>
          <t>Average balance (memo only; interest uses beginning balance below)</t>
        </is>
      </c>
      <c r="C33" s="28">
        <f>(C30+C32)/2</f>
        <v/>
      </c>
      <c r="D33" s="28">
        <f>(D30+D32)/2</f>
        <v/>
      </c>
      <c r="E33" s="28">
        <f>(E30+E32)/2</f>
        <v/>
      </c>
      <c r="F33" s="28">
        <f>(F30+F32)/2</f>
        <v/>
      </c>
      <c r="G33" s="28">
        <f>(G30+G32)/2</f>
        <v/>
      </c>
    </row>
    <row r="34">
      <c r="A34" s="6" t="inlineStr">
        <is>
          <t>Interest expense on beginning balance</t>
        </is>
      </c>
      <c r="C34" s="28">
        <f>C30*Assumptions!$B$19</f>
        <v/>
      </c>
      <c r="D34" s="28">
        <f>D30*Assumptions!$B$19</f>
        <v/>
      </c>
      <c r="E34" s="28">
        <f>E30*Assumptions!$B$19</f>
        <v/>
      </c>
      <c r="F34" s="28">
        <f>F30*Assumptions!$B$19</f>
        <v/>
      </c>
      <c r="G34" s="28">
        <f>G30*Assumptions!$B$19</f>
        <v/>
      </c>
    </row>
    <row r="36">
      <c r="A36" s="4" t="inlineStr">
        <is>
          <t>Consolidated Debt &amp; Cash</t>
        </is>
      </c>
      <c r="B36" s="5" t="n"/>
      <c r="C36" s="5" t="n"/>
      <c r="D36" s="5" t="n"/>
      <c r="E36" s="5" t="n"/>
      <c r="F36" s="5" t="n"/>
      <c r="G36" s="5" t="n"/>
    </row>
    <row r="37">
      <c r="A37" s="19" t="inlineStr">
        <is>
          <t>Total interest expense</t>
        </is>
      </c>
      <c r="C37" s="27">
        <f>C19+C27+C34</f>
        <v/>
      </c>
      <c r="D37" s="27">
        <f>D19+D27+D34</f>
        <v/>
      </c>
      <c r="E37" s="27">
        <f>E19+E27+E34</f>
        <v/>
      </c>
      <c r="F37" s="27">
        <f>F19+F27+F34</f>
        <v/>
      </c>
      <c r="G37" s="27">
        <f>G19+G27+G34</f>
        <v/>
      </c>
    </row>
    <row r="38">
      <c r="A38" s="19" t="inlineStr">
        <is>
          <t>Total debt outstanding, ending</t>
        </is>
      </c>
      <c r="B38" s="27">
        <f>B15+B22+B30</f>
        <v/>
      </c>
      <c r="C38" s="27">
        <f>C17+C25+C32</f>
        <v/>
      </c>
      <c r="D38" s="27">
        <f>D17+D25+D32</f>
        <v/>
      </c>
      <c r="E38" s="27">
        <f>E17+E25+E32</f>
        <v/>
      </c>
      <c r="F38" s="27">
        <f>F17+F25+F32</f>
        <v/>
      </c>
      <c r="G38" s="27">
        <f>G17+G25+G32</f>
        <v/>
      </c>
    </row>
    <row r="39">
      <c r="A39" s="6" t="inlineStr">
        <is>
          <t>Ending cash balance</t>
        </is>
      </c>
      <c r="B39" s="28">
        <f>B8</f>
        <v/>
      </c>
      <c r="C39" s="28">
        <f>C8+C9-C10-C11+C16-C24</f>
        <v/>
      </c>
      <c r="D39" s="28">
        <f>D8+D9-D10-D11+D16-D24</f>
        <v/>
      </c>
      <c r="E39" s="28">
        <f>E8+E9-E10-E11+E16-E24</f>
        <v/>
      </c>
      <c r="F39" s="28">
        <f>F8+F9-F10-F11+F16-F24</f>
        <v/>
      </c>
      <c r="G39" s="28">
        <f>G8+G9-G10-G11+G16-G24</f>
        <v/>
      </c>
    </row>
    <row r="40">
      <c r="A40" s="19" t="inlineStr">
        <is>
          <t>Total net debt, ending</t>
        </is>
      </c>
      <c r="B40" s="27">
        <f>B38-B39</f>
        <v/>
      </c>
      <c r="C40" s="27">
        <f>C38-C39</f>
        <v/>
      </c>
      <c r="D40" s="27">
        <f>D38-D39</f>
        <v/>
      </c>
      <c r="E40" s="27">
        <f>E38-E39</f>
        <v/>
      </c>
      <c r="F40" s="27">
        <f>F38-F39</f>
        <v/>
      </c>
      <c r="G40" s="27">
        <f>G38-G39</f>
        <v/>
      </c>
    </row>
    <row r="42">
      <c r="A42" s="19" t="inlineStr">
        <is>
          <t>CHECK: net debt at close vs. Sources &amp; Uses opening net debt (must = 0)</t>
        </is>
      </c>
      <c r="B42" s="27">
        <f>B40-'Sources &amp; Uses'!B36</f>
        <v/>
      </c>
    </row>
  </sheetData>
  <mergeCells count="7">
    <mergeCell ref="A36:G36"/>
    <mergeCell ref="A14:G14"/>
    <mergeCell ref="A1:G1"/>
    <mergeCell ref="A21:G21"/>
    <mergeCell ref="A2:G2"/>
    <mergeCell ref="A29:G29"/>
    <mergeCell ref="A7:G7"/>
  </mergeCells>
  <conditionalFormatting sqref="B42">
    <cfRule type="cellIs" priority="1" operator="notEqual" dxfId="0">
      <formula>0</formula>
    </cfRule>
    <cfRule type="cellIs" priority="2" operator="equal" dxfId="1">
      <formula>0</formula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V2X, Inc. (NYSE: VVX) — Operating Model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$ in millions. FY2025A shown for reference; FY2026-FY2030 are formulas off the Assumptions tab.</t>
        </is>
      </c>
    </row>
    <row r="4">
      <c r="A4" s="4" t="inlineStr">
        <is>
          <t>Projected P&amp;L</t>
        </is>
      </c>
      <c r="B4" s="5" t="n"/>
      <c r="C4" s="5" t="n"/>
      <c r="D4" s="5" t="n"/>
      <c r="E4" s="5" t="n"/>
      <c r="F4" s="5" t="n"/>
      <c r="G4" s="5" t="n"/>
    </row>
    <row r="5">
      <c r="A5" s="6" t="inlineStr"/>
      <c r="B5" s="14" t="inlineStr">
        <is>
          <t>FY2025A</t>
        </is>
      </c>
      <c r="C5" s="14" t="inlineStr">
        <is>
          <t>FY2026</t>
        </is>
      </c>
      <c r="D5" s="14" t="inlineStr">
        <is>
          <t>FY2027</t>
        </is>
      </c>
      <c r="E5" s="14" t="inlineStr">
        <is>
          <t>FY2028</t>
        </is>
      </c>
      <c r="F5" s="14" t="inlineStr">
        <is>
          <t>FY2029</t>
        </is>
      </c>
      <c r="G5" s="14" t="inlineStr">
        <is>
          <t>FY2030</t>
        </is>
      </c>
    </row>
    <row r="6">
      <c r="A6" s="6" t="inlineStr">
        <is>
          <t>Revenue</t>
        </is>
      </c>
      <c r="B6" s="25">
        <f>'Historical Financials'!F10/1000</f>
        <v/>
      </c>
      <c r="C6" s="28">
        <f>B6*(1+Assumptions!B27)</f>
        <v/>
      </c>
      <c r="D6" s="28">
        <f>C6*(1+Assumptions!C27)</f>
        <v/>
      </c>
      <c r="E6" s="28">
        <f>D6*(1+Assumptions!D27)</f>
        <v/>
      </c>
      <c r="F6" s="28">
        <f>E6*(1+Assumptions!E27)</f>
        <v/>
      </c>
      <c r="G6" s="28">
        <f>F6*(1+Assumptions!F27)</f>
        <v/>
      </c>
    </row>
    <row r="7">
      <c r="A7" s="6" t="inlineStr">
        <is>
          <t>Revenue growth %</t>
        </is>
      </c>
      <c r="C7" s="31">
        <f>Assumptions!B27</f>
        <v/>
      </c>
      <c r="D7" s="31">
        <f>Assumptions!C27</f>
        <v/>
      </c>
      <c r="E7" s="31">
        <f>Assumptions!D27</f>
        <v/>
      </c>
      <c r="F7" s="31">
        <f>Assumptions!E27</f>
        <v/>
      </c>
      <c r="G7" s="31">
        <f>Assumptions!F27</f>
        <v/>
      </c>
    </row>
    <row r="8">
      <c r="A8" s="6" t="inlineStr">
        <is>
          <t>EBITDA margin %</t>
        </is>
      </c>
      <c r="B8" s="31">
        <f>'Historical Financials'!F55</f>
        <v/>
      </c>
      <c r="C8" s="31">
        <f>Assumptions!B28</f>
        <v/>
      </c>
      <c r="D8" s="31">
        <f>Assumptions!C28</f>
        <v/>
      </c>
      <c r="E8" s="31">
        <f>Assumptions!D28</f>
        <v/>
      </c>
      <c r="F8" s="31">
        <f>Assumptions!E28</f>
        <v/>
      </c>
      <c r="G8" s="31">
        <f>Assumptions!F28</f>
        <v/>
      </c>
    </row>
    <row r="9">
      <c r="A9" s="19" t="inlineStr">
        <is>
          <t>EBITDA</t>
        </is>
      </c>
      <c r="B9" s="32">
        <f>'Historical Financials'!F54/1000</f>
        <v/>
      </c>
      <c r="C9" s="27">
        <f>C6*C8</f>
        <v/>
      </c>
      <c r="D9" s="27">
        <f>D6*D8</f>
        <v/>
      </c>
      <c r="E9" s="27">
        <f>E6*E8</f>
        <v/>
      </c>
      <c r="F9" s="27">
        <f>F6*F8</f>
        <v/>
      </c>
      <c r="G9" s="27">
        <f>G6*G8</f>
        <v/>
      </c>
    </row>
    <row r="10">
      <c r="A10" s="6" t="inlineStr">
        <is>
          <t>D&amp;A</t>
        </is>
      </c>
      <c r="B10" s="25">
        <f>('Historical Financials'!F46+'Historical Financials'!F47+'Historical Financials'!F48)/1000</f>
        <v/>
      </c>
      <c r="C10" s="28">
        <f>C6*Assumptions!$B$31</f>
        <v/>
      </c>
      <c r="D10" s="28">
        <f>D6*Assumptions!$B$31</f>
        <v/>
      </c>
      <c r="E10" s="28">
        <f>E6*Assumptions!$B$31</f>
        <v/>
      </c>
      <c r="F10" s="28">
        <f>F6*Assumptions!$B$31</f>
        <v/>
      </c>
      <c r="G10" s="28">
        <f>G6*Assumptions!$B$31</f>
        <v/>
      </c>
    </row>
    <row r="11">
      <c r="A11" s="6" t="inlineStr">
        <is>
          <t>EBIT</t>
        </is>
      </c>
      <c r="B11" s="28">
        <f>B9-B10</f>
        <v/>
      </c>
      <c r="C11" s="28">
        <f>C9-C10</f>
        <v/>
      </c>
      <c r="D11" s="28">
        <f>D9-D10</f>
        <v/>
      </c>
      <c r="E11" s="28">
        <f>E9-E10</f>
        <v/>
      </c>
      <c r="F11" s="28">
        <f>F9-F10</f>
        <v/>
      </c>
      <c r="G11" s="28">
        <f>G9-G10</f>
        <v/>
      </c>
    </row>
    <row r="12">
      <c r="A12" s="6" t="inlineStr">
        <is>
          <t>Interest expense (net)</t>
        </is>
      </c>
      <c r="B12" s="25">
        <f>'Historical Financials'!F15/1000</f>
        <v/>
      </c>
      <c r="C12" s="25">
        <f>-'Debt Schedule'!C37</f>
        <v/>
      </c>
      <c r="D12" s="25">
        <f>-'Debt Schedule'!D37</f>
        <v/>
      </c>
      <c r="E12" s="25">
        <f>-'Debt Schedule'!E37</f>
        <v/>
      </c>
      <c r="F12" s="25">
        <f>-'Debt Schedule'!F37</f>
        <v/>
      </c>
      <c r="G12" s="25">
        <f>-'Debt Schedule'!G37</f>
        <v/>
      </c>
    </row>
    <row r="13">
      <c r="A13" s="6" t="inlineStr">
        <is>
          <t>EBT</t>
        </is>
      </c>
      <c r="B13" s="28">
        <f>B11+B12</f>
        <v/>
      </c>
      <c r="C13" s="28">
        <f>C11+C12</f>
        <v/>
      </c>
      <c r="D13" s="28">
        <f>D11+D12</f>
        <v/>
      </c>
      <c r="E13" s="28">
        <f>E11+E12</f>
        <v/>
      </c>
      <c r="F13" s="28">
        <f>F11+F12</f>
        <v/>
      </c>
      <c r="G13" s="28">
        <f>G11+G12</f>
        <v/>
      </c>
    </row>
    <row r="14">
      <c r="A14" s="6" t="inlineStr">
        <is>
          <t>Taxes</t>
        </is>
      </c>
      <c r="B14" s="28">
        <f>MAX(0,B13)*Assumptions!$B$34</f>
        <v/>
      </c>
      <c r="C14" s="28">
        <f>MAX(0,C13)*Assumptions!$B$34</f>
        <v/>
      </c>
      <c r="D14" s="28">
        <f>MAX(0,D13)*Assumptions!$B$34</f>
        <v/>
      </c>
      <c r="E14" s="28">
        <f>MAX(0,E13)*Assumptions!$B$34</f>
        <v/>
      </c>
      <c r="F14" s="28">
        <f>MAX(0,F13)*Assumptions!$B$34</f>
        <v/>
      </c>
      <c r="G14" s="28">
        <f>MAX(0,G13)*Assumptions!$B$34</f>
        <v/>
      </c>
    </row>
    <row r="15">
      <c r="A15" s="19" t="inlineStr">
        <is>
          <t>Net income</t>
        </is>
      </c>
      <c r="B15" s="27">
        <f>B13-B14</f>
        <v/>
      </c>
      <c r="C15" s="27">
        <f>C13-C14</f>
        <v/>
      </c>
      <c r="D15" s="27">
        <f>D13-D14</f>
        <v/>
      </c>
      <c r="E15" s="27">
        <f>E13-E14</f>
        <v/>
      </c>
      <c r="F15" s="27">
        <f>F13-F14</f>
        <v/>
      </c>
      <c r="G15" s="27">
        <f>G13-G14</f>
        <v/>
      </c>
    </row>
    <row r="17">
      <c r="A17" s="4" t="inlineStr">
        <is>
          <t>Capex &amp; Working Capital</t>
        </is>
      </c>
      <c r="B17" s="5" t="n"/>
      <c r="C17" s="5" t="n"/>
      <c r="D17" s="5" t="n"/>
      <c r="E17" s="5" t="n"/>
      <c r="F17" s="5" t="n"/>
      <c r="G17" s="5" t="n"/>
    </row>
    <row r="18">
      <c r="A18" s="6" t="inlineStr">
        <is>
          <t>Capex</t>
        </is>
      </c>
      <c r="B18" s="25">
        <f>'Historical Financials'!F49/1000</f>
        <v/>
      </c>
      <c r="C18" s="28">
        <f>C6*Assumptions!$B$32</f>
        <v/>
      </c>
      <c r="D18" s="28">
        <f>D6*Assumptions!$B$32</f>
        <v/>
      </c>
      <c r="E18" s="28">
        <f>E6*Assumptions!$B$32</f>
        <v/>
      </c>
      <c r="F18" s="28">
        <f>F6*Assumptions!$B$32</f>
        <v/>
      </c>
      <c r="G18" s="28">
        <f>G6*Assumptions!$B$32</f>
        <v/>
      </c>
    </row>
    <row r="19">
      <c r="A19" s="6" t="inlineStr">
        <is>
          <t>Net working capital balance</t>
        </is>
      </c>
      <c r="B19" s="25">
        <f>'Historical Financials'!F56/1000</f>
        <v/>
      </c>
      <c r="C19" s="28">
        <f>C6*Assumptions!$B$33</f>
        <v/>
      </c>
      <c r="D19" s="28">
        <f>D6*Assumptions!$B$33</f>
        <v/>
      </c>
      <c r="E19" s="28">
        <f>E6*Assumptions!$B$33</f>
        <v/>
      </c>
      <c r="F19" s="28">
        <f>F6*Assumptions!$B$33</f>
        <v/>
      </c>
      <c r="G19" s="28">
        <f>G6*Assumptions!$B$33</f>
        <v/>
      </c>
    </row>
    <row r="20">
      <c r="A20" s="6" t="inlineStr">
        <is>
          <t>Change in NWC balance</t>
        </is>
      </c>
      <c r="C20" s="28">
        <f>C19-B19</f>
        <v/>
      </c>
      <c r="D20" s="28">
        <f>D19-C19</f>
        <v/>
      </c>
      <c r="E20" s="28">
        <f>E19-D19</f>
        <v/>
      </c>
      <c r="F20" s="28">
        <f>F19-E19</f>
        <v/>
      </c>
      <c r="G20" s="28">
        <f>G19-F19</f>
        <v/>
      </c>
    </row>
    <row r="21">
      <c r="A21" s="6" t="inlineStr">
        <is>
          <t>Cash impact from NWC (increase in NWC = cash use)</t>
        </is>
      </c>
      <c r="C21" s="28">
        <f>-C20</f>
        <v/>
      </c>
      <c r="D21" s="28">
        <f>-D20</f>
        <v/>
      </c>
      <c r="E21" s="28">
        <f>-E20</f>
        <v/>
      </c>
      <c r="F21" s="28">
        <f>-F20</f>
        <v/>
      </c>
      <c r="G21" s="28">
        <f>-G20</f>
        <v/>
      </c>
    </row>
  </sheetData>
  <mergeCells count="4">
    <mergeCell ref="A2:G2"/>
    <mergeCell ref="A1:G1"/>
    <mergeCell ref="A17:G17"/>
    <mergeCell ref="A4:G4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V2X, Inc. (NYSE: VVX) — Free Cash Flow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$ in millions. Levered FCF available for debt paydown, feeding the Debt Schedule waterfall.</t>
        </is>
      </c>
    </row>
    <row r="5">
      <c r="A5" s="4" t="inlineStr">
        <is>
          <t>Levered Free Cash Flow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Net income</t>
        </is>
      </c>
      <c r="C6" s="25">
        <f>'Operating Model'!C15</f>
        <v/>
      </c>
      <c r="D6" s="25">
        <f>'Operating Model'!D15</f>
        <v/>
      </c>
      <c r="E6" s="25">
        <f>'Operating Model'!E15</f>
        <v/>
      </c>
      <c r="F6" s="25">
        <f>'Operating Model'!F15</f>
        <v/>
      </c>
      <c r="G6" s="25">
        <f>'Operating Model'!G15</f>
        <v/>
      </c>
    </row>
    <row r="7">
      <c r="A7" s="6" t="inlineStr">
        <is>
          <t>+ D&amp;A</t>
        </is>
      </c>
      <c r="C7" s="25">
        <f>'Operating Model'!C10</f>
        <v/>
      </c>
      <c r="D7" s="25">
        <f>'Operating Model'!D10</f>
        <v/>
      </c>
      <c r="E7" s="25">
        <f>'Operating Model'!E10</f>
        <v/>
      </c>
      <c r="F7" s="25">
        <f>'Operating Model'!F10</f>
        <v/>
      </c>
      <c r="G7" s="25">
        <f>'Operating Model'!G10</f>
        <v/>
      </c>
    </row>
    <row r="8">
      <c r="A8" s="6" t="inlineStr">
        <is>
          <t>− Capex</t>
        </is>
      </c>
      <c r="C8" s="25">
        <f>'Operating Model'!C18</f>
        <v/>
      </c>
      <c r="D8" s="25">
        <f>'Operating Model'!D18</f>
        <v/>
      </c>
      <c r="E8" s="25">
        <f>'Operating Model'!E18</f>
        <v/>
      </c>
      <c r="F8" s="25">
        <f>'Operating Model'!F18</f>
        <v/>
      </c>
      <c r="G8" s="25">
        <f>'Operating Model'!G18</f>
        <v/>
      </c>
    </row>
    <row r="9">
      <c r="A9" s="6" t="inlineStr">
        <is>
          <t>+/− Cash impact from NWC</t>
        </is>
      </c>
      <c r="C9" s="25">
        <f>'Operating Model'!C21</f>
        <v/>
      </c>
      <c r="D9" s="25">
        <f>'Operating Model'!D21</f>
        <v/>
      </c>
      <c r="E9" s="25">
        <f>'Operating Model'!E21</f>
        <v/>
      </c>
      <c r="F9" s="25">
        <f>'Operating Model'!F21</f>
        <v/>
      </c>
      <c r="G9" s="25">
        <f>'Operating Model'!G21</f>
        <v/>
      </c>
    </row>
    <row r="10">
      <c r="A10" s="19" t="inlineStr">
        <is>
          <t>Levered FCF before debt service (CFADS)</t>
        </is>
      </c>
      <c r="C10" s="27">
        <f>C6+C7-C8+C9</f>
        <v/>
      </c>
      <c r="D10" s="27">
        <f>D6+D7-D8+D9</f>
        <v/>
      </c>
      <c r="E10" s="27">
        <f>E6+E7-E8+E9</f>
        <v/>
      </c>
      <c r="F10" s="27">
        <f>F6+F7-F8+F9</f>
        <v/>
      </c>
      <c r="G10" s="27">
        <f>G6+G7-G8+G9</f>
        <v/>
      </c>
    </row>
    <row r="12">
      <c r="A12" s="4" t="inlineStr">
        <is>
          <t>Debt Service (from Debt Schedule)</t>
        </is>
      </c>
      <c r="B12" s="5" t="n"/>
      <c r="C12" s="5" t="n"/>
      <c r="D12" s="5" t="n"/>
      <c r="E12" s="5" t="n"/>
      <c r="F12" s="5" t="n"/>
      <c r="G12" s="5" t="n"/>
    </row>
    <row r="13">
      <c r="A13" s="6" t="inlineStr">
        <is>
          <t>Less: mandatory amortization (TLB + Notes)</t>
        </is>
      </c>
      <c r="C13" s="25">
        <f>'Debt Schedule'!C10+'Debt Schedule'!C11</f>
        <v/>
      </c>
      <c r="D13" s="25">
        <f>'Debt Schedule'!D10+'Debt Schedule'!D11</f>
        <v/>
      </c>
      <c r="E13" s="25">
        <f>'Debt Schedule'!E10+'Debt Schedule'!E11</f>
        <v/>
      </c>
      <c r="F13" s="25">
        <f>'Debt Schedule'!F10+'Debt Schedule'!F11</f>
        <v/>
      </c>
      <c r="G13" s="25">
        <f>'Debt Schedule'!G10+'Debt Schedule'!G11</f>
        <v/>
      </c>
    </row>
    <row r="14">
      <c r="A14" s="6" t="inlineStr">
        <is>
          <t>Less: optional cash sweep (Term Loan B)</t>
        </is>
      </c>
      <c r="C14" s="25">
        <f>'Debt Schedule'!C24</f>
        <v/>
      </c>
      <c r="D14" s="25">
        <f>'Debt Schedule'!D24</f>
        <v/>
      </c>
      <c r="E14" s="25">
        <f>'Debt Schedule'!E24</f>
        <v/>
      </c>
      <c r="F14" s="25">
        <f>'Debt Schedule'!F24</f>
        <v/>
      </c>
      <c r="G14" s="25">
        <f>'Debt Schedule'!G24</f>
        <v/>
      </c>
    </row>
    <row r="15">
      <c r="A15" s="6" t="inlineStr">
        <is>
          <t>+/− Net revolver draw / (paydown)</t>
        </is>
      </c>
      <c r="C15" s="25">
        <f>'Debt Schedule'!C16</f>
        <v/>
      </c>
      <c r="D15" s="25">
        <f>'Debt Schedule'!D16</f>
        <v/>
      </c>
      <c r="E15" s="25">
        <f>'Debt Schedule'!E16</f>
        <v/>
      </c>
      <c r="F15" s="25">
        <f>'Debt Schedule'!F16</f>
        <v/>
      </c>
      <c r="G15" s="25">
        <f>'Debt Schedule'!G16</f>
        <v/>
      </c>
    </row>
    <row r="16">
      <c r="A16" s="19" t="inlineStr">
        <is>
          <t>Net change in cash</t>
        </is>
      </c>
      <c r="C16" s="27">
        <f>C10-C13-C14+C15</f>
        <v/>
      </c>
      <c r="D16" s="27">
        <f>D10-D13-D14+D15</f>
        <v/>
      </c>
      <c r="E16" s="27">
        <f>E10-E13-E14+E15</f>
        <v/>
      </c>
      <c r="F16" s="27">
        <f>F10-F13-F14+F15</f>
        <v/>
      </c>
      <c r="G16" s="27">
        <f>G10-G13-G14+G15</f>
        <v/>
      </c>
    </row>
    <row r="18">
      <c r="A18" s="19" t="inlineStr">
        <is>
          <t>CHECK: net change in cash vs. Debt Schedule roll-forward (must = 0)</t>
        </is>
      </c>
      <c r="C18" s="27">
        <f>C16-('Debt Schedule'!C39-'Debt Schedule'!C8)</f>
        <v/>
      </c>
      <c r="D18" s="27">
        <f>D16-('Debt Schedule'!D39-'Debt Schedule'!D8)</f>
        <v/>
      </c>
      <c r="E18" s="27">
        <f>E16-('Debt Schedule'!E39-'Debt Schedule'!E8)</f>
        <v/>
      </c>
      <c r="F18" s="27">
        <f>F16-('Debt Schedule'!F39-'Debt Schedule'!F8)</f>
        <v/>
      </c>
      <c r="G18" s="27">
        <f>G16-('Debt Schedule'!G39-'Debt Schedule'!G8)</f>
        <v/>
      </c>
    </row>
  </sheetData>
  <mergeCells count="4">
    <mergeCell ref="A2:G2"/>
    <mergeCell ref="A1:G1"/>
    <mergeCell ref="A5:G5"/>
    <mergeCell ref="A12:G12"/>
  </mergeCells>
  <conditionalFormatting sqref="C18">
    <cfRule type="cellIs" priority="1" operator="notEqual" dxfId="0">
      <formula>0</formula>
    </cfRule>
    <cfRule type="cellIs" priority="2" operator="equal" dxfId="1">
      <formula>0</formula>
    </cfRule>
  </conditionalFormatting>
  <conditionalFormatting sqref="D18">
    <cfRule type="cellIs" priority="3" operator="notEqual" dxfId="0">
      <formula>0</formula>
    </cfRule>
    <cfRule type="cellIs" priority="4" operator="equal" dxfId="1">
      <formula>0</formula>
    </cfRule>
  </conditionalFormatting>
  <conditionalFormatting sqref="E18">
    <cfRule type="cellIs" priority="5" operator="notEqual" dxfId="0">
      <formula>0</formula>
    </cfRule>
    <cfRule type="cellIs" priority="6" operator="equal" dxfId="1">
      <formula>0</formula>
    </cfRule>
  </conditionalFormatting>
  <conditionalFormatting sqref="F18">
    <cfRule type="cellIs" priority="7" operator="notEqual" dxfId="0">
      <formula>0</formula>
    </cfRule>
    <cfRule type="cellIs" priority="8" operator="equal" dxfId="1">
      <formula>0</formula>
    </cfRule>
  </conditionalFormatting>
  <conditionalFormatting sqref="G18">
    <cfRule type="cellIs" priority="9" operator="notEqual" dxfId="0">
      <formula>0</formula>
    </cfRule>
    <cfRule type="cellIs" priority="10" operator="equal" dxfId="1">
      <formula>0</formula>
    </cfRule>
  </conditionalFormatting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V2X, Inc. (NYSE: VVX) — Returns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$ in millions except per-x and % rows.</t>
        </is>
      </c>
    </row>
    <row r="4">
      <c r="A4" s="4" t="inlineStr">
        <is>
          <t>Entry (12/31/2025)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6" t="inlineStr">
        <is>
          <t>Entry EBITDA</t>
        </is>
      </c>
      <c r="B5" s="25">
        <f>'Sources &amp; Uses'!B5</f>
        <v/>
      </c>
    </row>
    <row r="6">
      <c r="A6" s="6" t="inlineStr">
        <is>
          <t>Entry multiple</t>
        </is>
      </c>
      <c r="B6" s="26">
        <f>'Sources &amp; Uses'!B6</f>
        <v/>
      </c>
    </row>
    <row r="7">
      <c r="A7" s="6" t="inlineStr">
        <is>
          <t>Entry TEV</t>
        </is>
      </c>
      <c r="B7" s="25">
        <f>'Sources &amp; Uses'!B7</f>
        <v/>
      </c>
    </row>
    <row r="8">
      <c r="A8" s="19" t="inlineStr">
        <is>
          <t>Sponsor equity investment</t>
        </is>
      </c>
      <c r="B8" s="32">
        <f>'Sources &amp; Uses'!B30</f>
        <v/>
      </c>
    </row>
    <row r="10">
      <c r="A10" s="4" t="inlineStr">
        <is>
          <t>Exit (FY2030)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6" t="inlineStr">
        <is>
          <t>Exit EBITDA</t>
        </is>
      </c>
      <c r="B11" s="25">
        <f>'Operating Model'!G9</f>
        <v/>
      </c>
    </row>
    <row r="12">
      <c r="A12" s="6" t="inlineStr">
        <is>
          <t>Exit multiple</t>
        </is>
      </c>
      <c r="B12" s="26">
        <f>Assumptions!B12</f>
        <v/>
      </c>
    </row>
    <row r="13">
      <c r="A13" s="6" t="inlineStr">
        <is>
          <t>Exit TEV</t>
        </is>
      </c>
      <c r="B13" s="28">
        <f>B11*B12</f>
        <v/>
      </c>
    </row>
    <row r="14">
      <c r="A14" s="6" t="inlineStr">
        <is>
          <t>Exit net debt</t>
        </is>
      </c>
      <c r="B14" s="25">
        <f>'Debt Schedule'!G40</f>
        <v/>
      </c>
    </row>
    <row r="15">
      <c r="A15" s="19" t="inlineStr">
        <is>
          <t>Exit equity value</t>
        </is>
      </c>
      <c r="B15" s="27">
        <f>B13-B14</f>
        <v/>
      </c>
    </row>
    <row r="17">
      <c r="A17" s="4" t="inlineStr">
        <is>
          <t>Sponsor Returns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19" t="inlineStr">
        <is>
          <t>MOIC</t>
        </is>
      </c>
      <c r="B18" s="33">
        <f>B15/B8</f>
        <v/>
      </c>
    </row>
    <row r="19">
      <c r="A19" s="19" t="inlineStr">
        <is>
          <t>IRR</t>
        </is>
      </c>
      <c r="B19" s="34">
        <f>IRR(B23:G23)</f>
        <v/>
      </c>
    </row>
    <row r="21">
      <c r="A21" s="4" t="inlineStr">
        <is>
          <t>Cash Flow Timeline for IRR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6" t="inlineStr">
        <is>
          <t>Year</t>
        </is>
      </c>
      <c r="B22" s="35" t="n">
        <v>0</v>
      </c>
      <c r="C22" s="35" t="n">
        <v>1</v>
      </c>
      <c r="D22" s="35" t="n">
        <v>2</v>
      </c>
      <c r="E22" s="35" t="n">
        <v>3</v>
      </c>
      <c r="F22" s="35" t="n">
        <v>4</v>
      </c>
      <c r="G22" s="35" t="n">
        <v>5</v>
      </c>
    </row>
    <row r="23">
      <c r="A23" s="19" t="inlineStr">
        <is>
          <t>Sponsor cash flow</t>
        </is>
      </c>
      <c r="B23" s="27">
        <f>-B8</f>
        <v/>
      </c>
      <c r="C23" s="27" t="n">
        <v>0</v>
      </c>
      <c r="D23" s="27" t="n">
        <v>0</v>
      </c>
      <c r="E23" s="27" t="n">
        <v>0</v>
      </c>
      <c r="F23" s="27" t="n">
        <v>0</v>
      </c>
      <c r="G23" s="27">
        <f>B15</f>
        <v/>
      </c>
    </row>
    <row r="25">
      <c r="A25" s="4" t="inlineStr">
        <is>
          <t>Returns Attribution — Value Creation Bridge (ties exactly to Exit Equity Value)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6" t="inlineStr">
        <is>
          <t>Sponsor equity (entry)</t>
        </is>
      </c>
      <c r="B26" s="25">
        <f>B8</f>
        <v/>
      </c>
    </row>
    <row r="27">
      <c r="A27" s="6" t="inlineStr">
        <is>
          <t>+ EBITDA growth (Entry multiple x change in EBITDA)</t>
        </is>
      </c>
      <c r="B27" s="28">
        <f>B6*(B11-B5)</f>
        <v/>
      </c>
    </row>
    <row r="28">
      <c r="A28" s="6" t="inlineStr">
        <is>
          <t>+ Multiple expansion / (contraction)</t>
        </is>
      </c>
      <c r="B28" s="28">
        <f>(B12-B6)*B11</f>
        <v/>
      </c>
    </row>
    <row r="29">
      <c r="A29" s="6" t="inlineStr">
        <is>
          <t>+ Deleveraging (opening net debt less exit net debt)</t>
        </is>
      </c>
      <c r="B29" s="25">
        <f>'Sources &amp; Uses'!B36-B14</f>
        <v/>
      </c>
    </row>
    <row r="30">
      <c r="A30" s="6" t="inlineStr">
        <is>
          <t>− Fees &amp; frictional costs at entry</t>
        </is>
      </c>
      <c r="B30" s="25">
        <f>-('Sources &amp; Uses'!B20+'Sources &amp; Uses'!B21)</f>
        <v/>
      </c>
    </row>
    <row r="31">
      <c r="A31" s="29" t="inlineStr">
        <is>
          <t>Total: Exit equity value (attribution check)</t>
        </is>
      </c>
      <c r="B31" s="30">
        <f>SUM(B26:B30)</f>
        <v/>
      </c>
    </row>
    <row r="32">
      <c r="A32" s="19" t="inlineStr">
        <is>
          <t>CHECK: attribution total − exit equity value (must = 0)</t>
        </is>
      </c>
      <c r="B32" s="27">
        <f>B31-B15</f>
        <v/>
      </c>
    </row>
  </sheetData>
  <mergeCells count="7">
    <mergeCell ref="A4:H4"/>
    <mergeCell ref="A21:H21"/>
    <mergeCell ref="A25:H25"/>
    <mergeCell ref="A2:H2"/>
    <mergeCell ref="A10:H10"/>
    <mergeCell ref="A1:H1"/>
    <mergeCell ref="A17:H17"/>
  </mergeCells>
  <conditionalFormatting sqref="B32">
    <cfRule type="cellIs" priority="1" operator="notEqual" dxfId="0">
      <formula>0.01</formula>
    </cfRule>
    <cfRule type="cellIs" priority="2" operator="between" dxfId="1">
      <formula>-0.01</formula>
      <formula>0.01</formula>
    </cfRule>
  </conditionalFormatting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2" customHeight="1">
      <c r="A1" s="1" t="inlineStr">
        <is>
          <t>V2X, Inc. (NYSE: VVX) — Sensitivities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Every cell is a live formula. Change any header (blue) to re-run the grid.</t>
        </is>
      </c>
    </row>
    <row r="4">
      <c r="A4" s="4" t="inlineStr">
        <is>
          <t>Table 1 — IRR by Entry Multiple (rows) x Exit Multiple (columns)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6" t="inlineStr">
        <is>
          <t>Entry \ Exit</t>
        </is>
      </c>
      <c r="C5" s="8" t="n">
        <v>9</v>
      </c>
      <c r="D5" s="8" t="n">
        <v>10</v>
      </c>
      <c r="E5" s="8" t="n">
        <v>11</v>
      </c>
      <c r="F5" s="8" t="n">
        <v>12</v>
      </c>
      <c r="G5" s="8" t="n">
        <v>13</v>
      </c>
    </row>
    <row r="6">
      <c r="B6" s="8" t="n">
        <v>9</v>
      </c>
      <c r="C6" s="23">
        <f>((C$5*'Operating Model'!$G$9-'Debt Schedule'!$G$40)/($B6*'Sources &amp; Uses'!$B$5*(1+Assumptions!$B$7)+'Sources &amp; Uses'!$B$21+'Sources &amp; Uses'!$B$22-'Sources &amp; Uses'!$B$12-'Sources &amp; Uses'!$B$13))^(1/Assumptions!$B$10)-1</f>
        <v/>
      </c>
      <c r="D6" s="23">
        <f>((D$5*'Operating Model'!$G$9-'Debt Schedule'!$G$40)/($B6*'Sources &amp; Uses'!$B$5*(1+Assumptions!$B$7)+'Sources &amp; Uses'!$B$21+'Sources &amp; Uses'!$B$22-'Sources &amp; Uses'!$B$12-'Sources &amp; Uses'!$B$13))^(1/Assumptions!$B$10)-1</f>
        <v/>
      </c>
      <c r="E6" s="23">
        <f>((E$5*'Operating Model'!$G$9-'Debt Schedule'!$G$40)/($B6*'Sources &amp; Uses'!$B$5*(1+Assumptions!$B$7)+'Sources &amp; Uses'!$B$21+'Sources &amp; Uses'!$B$22-'Sources &amp; Uses'!$B$12-'Sources &amp; Uses'!$B$13))^(1/Assumptions!$B$10)-1</f>
        <v/>
      </c>
      <c r="F6" s="23">
        <f>((F$5*'Operating Model'!$G$9-'Debt Schedule'!$G$40)/($B6*'Sources &amp; Uses'!$B$5*(1+Assumptions!$B$7)+'Sources &amp; Uses'!$B$21+'Sources &amp; Uses'!$B$22-'Sources &amp; Uses'!$B$12-'Sources &amp; Uses'!$B$13))^(1/Assumptions!$B$10)-1</f>
        <v/>
      </c>
      <c r="G6" s="23">
        <f>((G$5*'Operating Model'!$G$9-'Debt Schedule'!$G$40)/($B6*'Sources &amp; Uses'!$B$5*(1+Assumptions!$B$7)+'Sources &amp; Uses'!$B$21+'Sources &amp; Uses'!$B$22-'Sources &amp; Uses'!$B$12-'Sources &amp; Uses'!$B$13))^(1/Assumptions!$B$10)-1</f>
        <v/>
      </c>
    </row>
    <row r="7">
      <c r="B7" s="8" t="n">
        <v>10</v>
      </c>
      <c r="C7" s="23">
        <f>((C$5*'Operating Model'!$G$9-'Debt Schedule'!$G$40)/($B7*'Sources &amp; Uses'!$B$5*(1+Assumptions!$B$7)+'Sources &amp; Uses'!$B$21+'Sources &amp; Uses'!$B$22-'Sources &amp; Uses'!$B$12-'Sources &amp; Uses'!$B$13))^(1/Assumptions!$B$10)-1</f>
        <v/>
      </c>
      <c r="D7" s="23">
        <f>((D$5*'Operating Model'!$G$9-'Debt Schedule'!$G$40)/($B7*'Sources &amp; Uses'!$B$5*(1+Assumptions!$B$7)+'Sources &amp; Uses'!$B$21+'Sources &amp; Uses'!$B$22-'Sources &amp; Uses'!$B$12-'Sources &amp; Uses'!$B$13))^(1/Assumptions!$B$10)-1</f>
        <v/>
      </c>
      <c r="E7" s="23">
        <f>((E$5*'Operating Model'!$G$9-'Debt Schedule'!$G$40)/($B7*'Sources &amp; Uses'!$B$5*(1+Assumptions!$B$7)+'Sources &amp; Uses'!$B$21+'Sources &amp; Uses'!$B$22-'Sources &amp; Uses'!$B$12-'Sources &amp; Uses'!$B$13))^(1/Assumptions!$B$10)-1</f>
        <v/>
      </c>
      <c r="F7" s="23">
        <f>((F$5*'Operating Model'!$G$9-'Debt Schedule'!$G$40)/($B7*'Sources &amp; Uses'!$B$5*(1+Assumptions!$B$7)+'Sources &amp; Uses'!$B$21+'Sources &amp; Uses'!$B$22-'Sources &amp; Uses'!$B$12-'Sources &amp; Uses'!$B$13))^(1/Assumptions!$B$10)-1</f>
        <v/>
      </c>
      <c r="G7" s="23">
        <f>((G$5*'Operating Model'!$G$9-'Debt Schedule'!$G$40)/($B7*'Sources &amp; Uses'!$B$5*(1+Assumptions!$B$7)+'Sources &amp; Uses'!$B$21+'Sources &amp; Uses'!$B$22-'Sources &amp; Uses'!$B$12-'Sources &amp; Uses'!$B$13))^(1/Assumptions!$B$10)-1</f>
        <v/>
      </c>
    </row>
    <row r="8">
      <c r="B8" s="8" t="n">
        <v>11</v>
      </c>
      <c r="C8" s="23">
        <f>((C$5*'Operating Model'!$G$9-'Debt Schedule'!$G$40)/($B8*'Sources &amp; Uses'!$B$5*(1+Assumptions!$B$7)+'Sources &amp; Uses'!$B$21+'Sources &amp; Uses'!$B$22-'Sources &amp; Uses'!$B$12-'Sources &amp; Uses'!$B$13))^(1/Assumptions!$B$10)-1</f>
        <v/>
      </c>
      <c r="D8" s="23">
        <f>((D$5*'Operating Model'!$G$9-'Debt Schedule'!$G$40)/($B8*'Sources &amp; Uses'!$B$5*(1+Assumptions!$B$7)+'Sources &amp; Uses'!$B$21+'Sources &amp; Uses'!$B$22-'Sources &amp; Uses'!$B$12-'Sources &amp; Uses'!$B$13))^(1/Assumptions!$B$10)-1</f>
        <v/>
      </c>
      <c r="E8" s="36">
        <f>((E$5*'Operating Model'!$G$9-'Debt Schedule'!$G$40)/($B8*'Sources &amp; Uses'!$B$5*(1+Assumptions!$B$7)+'Sources &amp; Uses'!$B$21+'Sources &amp; Uses'!$B$22-'Sources &amp; Uses'!$B$12-'Sources &amp; Uses'!$B$13))^(1/Assumptions!$B$10)-1</f>
        <v/>
      </c>
      <c r="F8" s="23">
        <f>((F$5*'Operating Model'!$G$9-'Debt Schedule'!$G$40)/($B8*'Sources &amp; Uses'!$B$5*(1+Assumptions!$B$7)+'Sources &amp; Uses'!$B$21+'Sources &amp; Uses'!$B$22-'Sources &amp; Uses'!$B$12-'Sources &amp; Uses'!$B$13))^(1/Assumptions!$B$10)-1</f>
        <v/>
      </c>
      <c r="G8" s="23">
        <f>((G$5*'Operating Model'!$G$9-'Debt Schedule'!$G$40)/($B8*'Sources &amp; Uses'!$B$5*(1+Assumptions!$B$7)+'Sources &amp; Uses'!$B$21+'Sources &amp; Uses'!$B$22-'Sources &amp; Uses'!$B$12-'Sources &amp; Uses'!$B$13))^(1/Assumptions!$B$10)-1</f>
        <v/>
      </c>
    </row>
    <row r="9">
      <c r="B9" s="8" t="n">
        <v>12</v>
      </c>
      <c r="C9" s="23">
        <f>((C$5*'Operating Model'!$G$9-'Debt Schedule'!$G$40)/($B9*'Sources &amp; Uses'!$B$5*(1+Assumptions!$B$7)+'Sources &amp; Uses'!$B$21+'Sources &amp; Uses'!$B$22-'Sources &amp; Uses'!$B$12-'Sources &amp; Uses'!$B$13))^(1/Assumptions!$B$10)-1</f>
        <v/>
      </c>
      <c r="D9" s="23">
        <f>((D$5*'Operating Model'!$G$9-'Debt Schedule'!$G$40)/($B9*'Sources &amp; Uses'!$B$5*(1+Assumptions!$B$7)+'Sources &amp; Uses'!$B$21+'Sources &amp; Uses'!$B$22-'Sources &amp; Uses'!$B$12-'Sources &amp; Uses'!$B$13))^(1/Assumptions!$B$10)-1</f>
        <v/>
      </c>
      <c r="E9" s="23">
        <f>((E$5*'Operating Model'!$G$9-'Debt Schedule'!$G$40)/($B9*'Sources &amp; Uses'!$B$5*(1+Assumptions!$B$7)+'Sources &amp; Uses'!$B$21+'Sources &amp; Uses'!$B$22-'Sources &amp; Uses'!$B$12-'Sources &amp; Uses'!$B$13))^(1/Assumptions!$B$10)-1</f>
        <v/>
      </c>
      <c r="F9" s="23">
        <f>((F$5*'Operating Model'!$G$9-'Debt Schedule'!$G$40)/($B9*'Sources &amp; Uses'!$B$5*(1+Assumptions!$B$7)+'Sources &amp; Uses'!$B$21+'Sources &amp; Uses'!$B$22-'Sources &amp; Uses'!$B$12-'Sources &amp; Uses'!$B$13))^(1/Assumptions!$B$10)-1</f>
        <v/>
      </c>
      <c r="G9" s="23">
        <f>((G$5*'Operating Model'!$G$9-'Debt Schedule'!$G$40)/($B9*'Sources &amp; Uses'!$B$5*(1+Assumptions!$B$7)+'Sources &amp; Uses'!$B$21+'Sources &amp; Uses'!$B$22-'Sources &amp; Uses'!$B$12-'Sources &amp; Uses'!$B$13))^(1/Assumptions!$B$10)-1</f>
        <v/>
      </c>
    </row>
    <row r="10">
      <c r="B10" s="8" t="n">
        <v>13</v>
      </c>
      <c r="C10" s="23">
        <f>((C$5*'Operating Model'!$G$9-'Debt Schedule'!$G$40)/($B10*'Sources &amp; Uses'!$B$5*(1+Assumptions!$B$7)+'Sources &amp; Uses'!$B$21+'Sources &amp; Uses'!$B$22-'Sources &amp; Uses'!$B$12-'Sources &amp; Uses'!$B$13))^(1/Assumptions!$B$10)-1</f>
        <v/>
      </c>
      <c r="D10" s="23">
        <f>((D$5*'Operating Model'!$G$9-'Debt Schedule'!$G$40)/($B10*'Sources &amp; Uses'!$B$5*(1+Assumptions!$B$7)+'Sources &amp; Uses'!$B$21+'Sources &amp; Uses'!$B$22-'Sources &amp; Uses'!$B$12-'Sources &amp; Uses'!$B$13))^(1/Assumptions!$B$10)-1</f>
        <v/>
      </c>
      <c r="E10" s="23">
        <f>((E$5*'Operating Model'!$G$9-'Debt Schedule'!$G$40)/($B10*'Sources &amp; Uses'!$B$5*(1+Assumptions!$B$7)+'Sources &amp; Uses'!$B$21+'Sources &amp; Uses'!$B$22-'Sources &amp; Uses'!$B$12-'Sources &amp; Uses'!$B$13))^(1/Assumptions!$B$10)-1</f>
        <v/>
      </c>
      <c r="F10" s="23">
        <f>((F$5*'Operating Model'!$G$9-'Debt Schedule'!$G$40)/($B10*'Sources &amp; Uses'!$B$5*(1+Assumptions!$B$7)+'Sources &amp; Uses'!$B$21+'Sources &amp; Uses'!$B$22-'Sources &amp; Uses'!$B$12-'Sources &amp; Uses'!$B$13))^(1/Assumptions!$B$10)-1</f>
        <v/>
      </c>
      <c r="G10" s="23">
        <f>((G$5*'Operating Model'!$G$9-'Debt Schedule'!$G$40)/($B10*'Sources &amp; Uses'!$B$5*(1+Assumptions!$B$7)+'Sources &amp; Uses'!$B$21+'Sources &amp; Uses'!$B$22-'Sources &amp; Uses'!$B$12-'Sources &amp; Uses'!$B$13))^(1/Assumptions!$B$10)-1</f>
        <v/>
      </c>
    </row>
    <row r="13">
      <c r="A13" s="4" t="inlineStr">
        <is>
          <t>Table 2 — IRR by Exit Multiple (rows) x 5-Yr Revenue CAGR (columns)</t>
        </is>
      </c>
      <c r="B13" s="5" t="n"/>
      <c r="C13" s="5" t="n"/>
      <c r="D13" s="5" t="n"/>
      <c r="E13" s="5" t="n"/>
      <c r="F13" s="5" t="n"/>
      <c r="G13" s="5" t="n"/>
      <c r="H13" s="5" t="n"/>
    </row>
    <row r="14" ht="28" customHeight="1">
      <c r="A14" s="3" t="inlineStr">
        <is>
          <t>Simplification: aggregate (non-tranche) debt paydown; interest expense held at base-case $ (2nd-order effect of paydown speed on interest is not re-derived per scenario); same margin/capex/NWC/tax assumptions as base case. See helper block below.</t>
        </is>
      </c>
    </row>
    <row r="15">
      <c r="A15" s="6" t="inlineStr">
        <is>
          <t>Exit Mult \ CAGR</t>
        </is>
      </c>
      <c r="C15" s="10" t="n">
        <v>0.02</v>
      </c>
      <c r="D15" s="10" t="n">
        <v>0.03</v>
      </c>
      <c r="E15" s="10" t="n">
        <v>0.043</v>
      </c>
      <c r="F15" s="10" t="n">
        <v>0.055</v>
      </c>
      <c r="G15" s="10" t="n">
        <v>0.07000000000000001</v>
      </c>
    </row>
    <row r="16">
      <c r="B16" s="8" t="n">
        <v>9</v>
      </c>
      <c r="C16" s="23">
        <f>(($B16*G27-(G34-G36))/'Sources &amp; Uses'!$B$30)^(1/Assumptions!$B$10)-1</f>
        <v/>
      </c>
      <c r="D16" s="23">
        <f>(($B16*G41-(G48-G50))/'Sources &amp; Uses'!$B$30)^(1/Assumptions!$B$10)-1</f>
        <v/>
      </c>
      <c r="E16" s="23">
        <f>(($B16*G55-(G62-G64))/'Sources &amp; Uses'!$B$30)^(1/Assumptions!$B$10)-1</f>
        <v/>
      </c>
      <c r="F16" s="23">
        <f>(($B16*G69-(G76-G78))/'Sources &amp; Uses'!$B$30)^(1/Assumptions!$B$10)-1</f>
        <v/>
      </c>
      <c r="G16" s="23">
        <f>(($B16*G83-(G90-G92))/'Sources &amp; Uses'!$B$30)^(1/Assumptions!$B$10)-1</f>
        <v/>
      </c>
    </row>
    <row r="17">
      <c r="B17" s="8" t="n">
        <v>10</v>
      </c>
      <c r="C17" s="23">
        <f>(($B17*G27-(G34-G36))/'Sources &amp; Uses'!$B$30)^(1/Assumptions!$B$10)-1</f>
        <v/>
      </c>
      <c r="D17" s="23">
        <f>(($B17*G41-(G48-G50))/'Sources &amp; Uses'!$B$30)^(1/Assumptions!$B$10)-1</f>
        <v/>
      </c>
      <c r="E17" s="23">
        <f>(($B17*G55-(G62-G64))/'Sources &amp; Uses'!$B$30)^(1/Assumptions!$B$10)-1</f>
        <v/>
      </c>
      <c r="F17" s="23">
        <f>(($B17*G69-(G76-G78))/'Sources &amp; Uses'!$B$30)^(1/Assumptions!$B$10)-1</f>
        <v/>
      </c>
      <c r="G17" s="23">
        <f>(($B17*G83-(G90-G92))/'Sources &amp; Uses'!$B$30)^(1/Assumptions!$B$10)-1</f>
        <v/>
      </c>
    </row>
    <row r="18">
      <c r="B18" s="8" t="n">
        <v>11</v>
      </c>
      <c r="C18" s="23">
        <f>(($B18*G27-(G34-G36))/'Sources &amp; Uses'!$B$30)^(1/Assumptions!$B$10)-1</f>
        <v/>
      </c>
      <c r="D18" s="23">
        <f>(($B18*G41-(G48-G50))/'Sources &amp; Uses'!$B$30)^(1/Assumptions!$B$10)-1</f>
        <v/>
      </c>
      <c r="E18" s="36">
        <f>(($B18*G55-(G62-G64))/'Sources &amp; Uses'!$B$30)^(1/Assumptions!$B$10)-1</f>
        <v/>
      </c>
      <c r="F18" s="23">
        <f>(($B18*G69-(G76-G78))/'Sources &amp; Uses'!$B$30)^(1/Assumptions!$B$10)-1</f>
        <v/>
      </c>
      <c r="G18" s="23">
        <f>(($B18*G83-(G90-G92))/'Sources &amp; Uses'!$B$30)^(1/Assumptions!$B$10)-1</f>
        <v/>
      </c>
    </row>
    <row r="19">
      <c r="B19" s="8" t="n">
        <v>12</v>
      </c>
      <c r="C19" s="23">
        <f>(($B19*G27-(G34-G36))/'Sources &amp; Uses'!$B$30)^(1/Assumptions!$B$10)-1</f>
        <v/>
      </c>
      <c r="D19" s="23">
        <f>(($B19*G41-(G48-G50))/'Sources &amp; Uses'!$B$30)^(1/Assumptions!$B$10)-1</f>
        <v/>
      </c>
      <c r="E19" s="23">
        <f>(($B19*G55-(G62-G64))/'Sources &amp; Uses'!$B$30)^(1/Assumptions!$B$10)-1</f>
        <v/>
      </c>
      <c r="F19" s="23">
        <f>(($B19*G69-(G76-G78))/'Sources &amp; Uses'!$B$30)^(1/Assumptions!$B$10)-1</f>
        <v/>
      </c>
      <c r="G19" s="23">
        <f>(($B19*G83-(G90-G92))/'Sources &amp; Uses'!$B$30)^(1/Assumptions!$B$10)-1</f>
        <v/>
      </c>
    </row>
    <row r="20">
      <c r="B20" s="8" t="n">
        <v>13</v>
      </c>
      <c r="C20" s="23">
        <f>(($B20*G27-(G34-G36))/'Sources &amp; Uses'!$B$30)^(1/Assumptions!$B$10)-1</f>
        <v/>
      </c>
      <c r="D20" s="23">
        <f>(($B20*G41-(G48-G50))/'Sources &amp; Uses'!$B$30)^(1/Assumptions!$B$10)-1</f>
        <v/>
      </c>
      <c r="E20" s="23">
        <f>(($B20*G55-(G62-G64))/'Sources &amp; Uses'!$B$30)^(1/Assumptions!$B$10)-1</f>
        <v/>
      </c>
      <c r="F20" s="23">
        <f>(($B20*G69-(G76-G78))/'Sources &amp; Uses'!$B$30)^(1/Assumptions!$B$10)-1</f>
        <v/>
      </c>
      <c r="G20" s="23">
        <f>(($B20*G83-(G90-G92))/'Sources &amp; Uses'!$B$30)^(1/Assumptions!$B$10)-1</f>
        <v/>
      </c>
    </row>
    <row r="23">
      <c r="A23" s="4" t="inlineStr">
        <is>
          <t>Sensitivity Helper — Simplified 5-Year Roll-Forward by Revenue CAGR Scenario (feeds Table 2)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19" t="inlineStr">
        <is>
          <t>Scenario 1: Revenue CAGR = C15</t>
        </is>
      </c>
    </row>
    <row r="25">
      <c r="C25" s="19" t="inlineStr">
        <is>
          <t>FY2026</t>
        </is>
      </c>
      <c r="D25" s="19" t="inlineStr">
        <is>
          <t>FY2027</t>
        </is>
      </c>
      <c r="E25" s="19" t="inlineStr">
        <is>
          <t>FY2028</t>
        </is>
      </c>
      <c r="F25" s="19" t="inlineStr">
        <is>
          <t>FY2029</t>
        </is>
      </c>
      <c r="G25" s="19" t="inlineStr">
        <is>
          <t>FY2030</t>
        </is>
      </c>
    </row>
    <row r="26">
      <c r="A26" s="6" t="inlineStr">
        <is>
          <t>Revenue</t>
        </is>
      </c>
      <c r="B26" s="25">
        <f>'Historical Financials'!F10/1000</f>
        <v/>
      </c>
      <c r="C26" s="28">
        <f>B26*(1+$C$15)</f>
        <v/>
      </c>
      <c r="D26" s="28">
        <f>C26*(1+$C$15)</f>
        <v/>
      </c>
      <c r="E26" s="28">
        <f>D26*(1+$C$15)</f>
        <v/>
      </c>
      <c r="F26" s="28">
        <f>E26*(1+$C$15)</f>
        <v/>
      </c>
      <c r="G26" s="28">
        <f>F26*(1+$C$15)</f>
        <v/>
      </c>
    </row>
    <row r="27">
      <c r="A27" s="6" t="inlineStr">
        <is>
          <t>EBITDA</t>
        </is>
      </c>
      <c r="C27" s="28">
        <f>C26*Assumptions!B28</f>
        <v/>
      </c>
      <c r="D27" s="28">
        <f>D26*Assumptions!C28</f>
        <v/>
      </c>
      <c r="E27" s="28">
        <f>E26*Assumptions!D28</f>
        <v/>
      </c>
      <c r="F27" s="28">
        <f>F26*Assumptions!E28</f>
        <v/>
      </c>
      <c r="G27" s="28">
        <f>G26*Assumptions!F28</f>
        <v/>
      </c>
    </row>
    <row r="28">
      <c r="A28" s="6" t="inlineStr">
        <is>
          <t>D&amp;A</t>
        </is>
      </c>
      <c r="C28" s="28">
        <f>C26*Assumptions!$B$31</f>
        <v/>
      </c>
      <c r="D28" s="28">
        <f>D26*Assumptions!$B$31</f>
        <v/>
      </c>
      <c r="E28" s="28">
        <f>E26*Assumptions!$B$31</f>
        <v/>
      </c>
      <c r="F28" s="28">
        <f>F26*Assumptions!$B$31</f>
        <v/>
      </c>
      <c r="G28" s="28">
        <f>G26*Assumptions!$B$31</f>
        <v/>
      </c>
    </row>
    <row r="29">
      <c r="A29" s="6" t="inlineStr">
        <is>
          <t>EBT (interest held at base-case $)</t>
        </is>
      </c>
      <c r="C29" s="28">
        <f>C27-C28-'Debt Schedule'!C37</f>
        <v/>
      </c>
      <c r="D29" s="28">
        <f>D27-D28-'Debt Schedule'!D37</f>
        <v/>
      </c>
      <c r="E29" s="28">
        <f>E27-E28-'Debt Schedule'!E37</f>
        <v/>
      </c>
      <c r="F29" s="28">
        <f>F27-F28-'Debt Schedule'!F37</f>
        <v/>
      </c>
      <c r="G29" s="28">
        <f>G27-G28-'Debt Schedule'!G37</f>
        <v/>
      </c>
    </row>
    <row r="30">
      <c r="A30" s="6" t="inlineStr">
        <is>
          <t>Net income</t>
        </is>
      </c>
      <c r="C30" s="28">
        <f>C29-MAX(0,C29)*Assumptions!$B$34</f>
        <v/>
      </c>
      <c r="D30" s="28">
        <f>D29-MAX(0,D29)*Assumptions!$B$34</f>
        <v/>
      </c>
      <c r="E30" s="28">
        <f>E29-MAX(0,E29)*Assumptions!$B$34</f>
        <v/>
      </c>
      <c r="F30" s="28">
        <f>F29-MAX(0,F29)*Assumptions!$B$34</f>
        <v/>
      </c>
      <c r="G30" s="28">
        <f>G29-MAX(0,G29)*Assumptions!$B$34</f>
        <v/>
      </c>
    </row>
    <row r="31">
      <c r="A31" s="6" t="inlineStr">
        <is>
          <t>FCF before debt service</t>
        </is>
      </c>
      <c r="C31" s="28">
        <f>C30+C28-C26*Assumptions!$B$32-(C26-B26)*Assumptions!$B$33</f>
        <v/>
      </c>
      <c r="D31" s="28">
        <f>D30+D28-D26*Assumptions!$B$32-(D26-C26)*Assumptions!$B$33</f>
        <v/>
      </c>
      <c r="E31" s="28">
        <f>E30+E28-E26*Assumptions!$B$32-(E26-D26)*Assumptions!$B$33</f>
        <v/>
      </c>
      <c r="F31" s="28">
        <f>F30+F28-F26*Assumptions!$B$32-(F26-E26)*Assumptions!$B$33</f>
        <v/>
      </c>
      <c r="G31" s="28">
        <f>G30+G28-G26*Assumptions!$B$32-(G26-F26)*Assumptions!$B$33</f>
        <v/>
      </c>
    </row>
    <row r="32">
      <c r="A32" s="6" t="inlineStr">
        <is>
          <t>Debt, beginning</t>
        </is>
      </c>
      <c r="B32" s="25">
        <f>'Sources &amp; Uses'!B14</f>
        <v/>
      </c>
      <c r="C32" s="28">
        <f>B32</f>
        <v/>
      </c>
      <c r="D32" s="28">
        <f>C34</f>
        <v/>
      </c>
      <c r="E32" s="28">
        <f>D34</f>
        <v/>
      </c>
      <c r="F32" s="28">
        <f>E34</f>
        <v/>
      </c>
      <c r="G32" s="28">
        <f>F34</f>
        <v/>
      </c>
    </row>
    <row r="33">
      <c r="A33" s="6" t="inlineStr">
        <is>
          <t>Mandatory amort. + sweep</t>
        </is>
      </c>
      <c r="C33" s="28">
        <f>MIN(MAX(0,C32-'Debt Schedule'!C23),'Debt Schedule'!C23+Assumptions!$B$23*MAX(0,C31-'Debt Schedule'!C23))</f>
        <v/>
      </c>
      <c r="D33" s="28">
        <f>MIN(MAX(0,D32-'Debt Schedule'!D23),'Debt Schedule'!D23+Assumptions!$B$23*MAX(0,D31-'Debt Schedule'!D23))</f>
        <v/>
      </c>
      <c r="E33" s="28">
        <f>MIN(MAX(0,E32-'Debt Schedule'!E23),'Debt Schedule'!E23+Assumptions!$B$23*MAX(0,E31-'Debt Schedule'!E23))</f>
        <v/>
      </c>
      <c r="F33" s="28">
        <f>MIN(MAX(0,F32-'Debt Schedule'!F23),'Debt Schedule'!F23+Assumptions!$B$23*MAX(0,F31-'Debt Schedule'!F23))</f>
        <v/>
      </c>
      <c r="G33" s="28">
        <f>MIN(MAX(0,G32-'Debt Schedule'!G23),'Debt Schedule'!G23+Assumptions!$B$23*MAX(0,G31-'Debt Schedule'!G23))</f>
        <v/>
      </c>
    </row>
    <row r="34">
      <c r="A34" s="6" t="inlineStr">
        <is>
          <t>Debt, ending</t>
        </is>
      </c>
      <c r="C34" s="28">
        <f>C32-C33</f>
        <v/>
      </c>
      <c r="D34" s="28">
        <f>D32-D33</f>
        <v/>
      </c>
      <c r="E34" s="28">
        <f>E32-E33</f>
        <v/>
      </c>
      <c r="F34" s="28">
        <f>F32-F33</f>
        <v/>
      </c>
      <c r="G34" s="28">
        <f>G32-G33</f>
        <v/>
      </c>
    </row>
    <row r="35">
      <c r="A35" s="6" t="inlineStr">
        <is>
          <t>Cash, beginning</t>
        </is>
      </c>
      <c r="B35" s="25">
        <f>Assumptions!$B$9/1000</f>
        <v/>
      </c>
      <c r="C35" s="28">
        <f>B35</f>
        <v/>
      </c>
      <c r="D35" s="28">
        <f>C36</f>
        <v/>
      </c>
      <c r="E35" s="28">
        <f>D36</f>
        <v/>
      </c>
      <c r="F35" s="28">
        <f>E36</f>
        <v/>
      </c>
      <c r="G35" s="28">
        <f>F36</f>
        <v/>
      </c>
    </row>
    <row r="36">
      <c r="A36" s="6" t="inlineStr">
        <is>
          <t>Cash, ending</t>
        </is>
      </c>
      <c r="C36" s="28">
        <f>C35+C31-C33</f>
        <v/>
      </c>
      <c r="D36" s="28">
        <f>D35+D31-D33</f>
        <v/>
      </c>
      <c r="E36" s="28">
        <f>E35+E31-E33</f>
        <v/>
      </c>
      <c r="F36" s="28">
        <f>F35+F31-F33</f>
        <v/>
      </c>
      <c r="G36" s="28">
        <f>G35+G31-G33</f>
        <v/>
      </c>
    </row>
    <row r="38">
      <c r="A38" s="19" t="inlineStr">
        <is>
          <t>Scenario 2: Revenue CAGR = D15</t>
        </is>
      </c>
    </row>
    <row r="39">
      <c r="C39" s="19" t="inlineStr">
        <is>
          <t>FY2026</t>
        </is>
      </c>
      <c r="D39" s="19" t="inlineStr">
        <is>
          <t>FY2027</t>
        </is>
      </c>
      <c r="E39" s="19" t="inlineStr">
        <is>
          <t>FY2028</t>
        </is>
      </c>
      <c r="F39" s="19" t="inlineStr">
        <is>
          <t>FY2029</t>
        </is>
      </c>
      <c r="G39" s="19" t="inlineStr">
        <is>
          <t>FY2030</t>
        </is>
      </c>
    </row>
    <row r="40">
      <c r="A40" s="6" t="inlineStr">
        <is>
          <t>Revenue</t>
        </is>
      </c>
      <c r="B40" s="25">
        <f>'Historical Financials'!F10/1000</f>
        <v/>
      </c>
      <c r="C40" s="28">
        <f>B40*(1+$D$15)</f>
        <v/>
      </c>
      <c r="D40" s="28">
        <f>C40*(1+$D$15)</f>
        <v/>
      </c>
      <c r="E40" s="28">
        <f>D40*(1+$D$15)</f>
        <v/>
      </c>
      <c r="F40" s="28">
        <f>E40*(1+$D$15)</f>
        <v/>
      </c>
      <c r="G40" s="28">
        <f>F40*(1+$D$15)</f>
        <v/>
      </c>
    </row>
    <row r="41">
      <c r="A41" s="6" t="inlineStr">
        <is>
          <t>EBITDA</t>
        </is>
      </c>
      <c r="C41" s="28">
        <f>C40*Assumptions!B28</f>
        <v/>
      </c>
      <c r="D41" s="28">
        <f>D40*Assumptions!C28</f>
        <v/>
      </c>
      <c r="E41" s="28">
        <f>E40*Assumptions!D28</f>
        <v/>
      </c>
      <c r="F41" s="28">
        <f>F40*Assumptions!E28</f>
        <v/>
      </c>
      <c r="G41" s="28">
        <f>G40*Assumptions!F28</f>
        <v/>
      </c>
    </row>
    <row r="42">
      <c r="A42" s="6" t="inlineStr">
        <is>
          <t>D&amp;A</t>
        </is>
      </c>
      <c r="C42" s="28">
        <f>C40*Assumptions!$B$31</f>
        <v/>
      </c>
      <c r="D42" s="28">
        <f>D40*Assumptions!$B$31</f>
        <v/>
      </c>
      <c r="E42" s="28">
        <f>E40*Assumptions!$B$31</f>
        <v/>
      </c>
      <c r="F42" s="28">
        <f>F40*Assumptions!$B$31</f>
        <v/>
      </c>
      <c r="G42" s="28">
        <f>G40*Assumptions!$B$31</f>
        <v/>
      </c>
    </row>
    <row r="43">
      <c r="A43" s="6" t="inlineStr">
        <is>
          <t>EBT (interest held at base-case $)</t>
        </is>
      </c>
      <c r="C43" s="28">
        <f>C41-C42-'Debt Schedule'!C37</f>
        <v/>
      </c>
      <c r="D43" s="28">
        <f>D41-D42-'Debt Schedule'!D37</f>
        <v/>
      </c>
      <c r="E43" s="28">
        <f>E41-E42-'Debt Schedule'!E37</f>
        <v/>
      </c>
      <c r="F43" s="28">
        <f>F41-F42-'Debt Schedule'!F37</f>
        <v/>
      </c>
      <c r="G43" s="28">
        <f>G41-G42-'Debt Schedule'!G37</f>
        <v/>
      </c>
    </row>
    <row r="44">
      <c r="A44" s="6" t="inlineStr">
        <is>
          <t>Net income</t>
        </is>
      </c>
      <c r="C44" s="28">
        <f>C43-MAX(0,C43)*Assumptions!$B$34</f>
        <v/>
      </c>
      <c r="D44" s="28">
        <f>D43-MAX(0,D43)*Assumptions!$B$34</f>
        <v/>
      </c>
      <c r="E44" s="28">
        <f>E43-MAX(0,E43)*Assumptions!$B$34</f>
        <v/>
      </c>
      <c r="F44" s="28">
        <f>F43-MAX(0,F43)*Assumptions!$B$34</f>
        <v/>
      </c>
      <c r="G44" s="28">
        <f>G43-MAX(0,G43)*Assumptions!$B$34</f>
        <v/>
      </c>
    </row>
    <row r="45">
      <c r="A45" s="6" t="inlineStr">
        <is>
          <t>FCF before debt service</t>
        </is>
      </c>
      <c r="C45" s="28">
        <f>C44+C42-C40*Assumptions!$B$32-(C40-B40)*Assumptions!$B$33</f>
        <v/>
      </c>
      <c r="D45" s="28">
        <f>D44+D42-D40*Assumptions!$B$32-(D40-C40)*Assumptions!$B$33</f>
        <v/>
      </c>
      <c r="E45" s="28">
        <f>E44+E42-E40*Assumptions!$B$32-(E40-D40)*Assumptions!$B$33</f>
        <v/>
      </c>
      <c r="F45" s="28">
        <f>F44+F42-F40*Assumptions!$B$32-(F40-E40)*Assumptions!$B$33</f>
        <v/>
      </c>
      <c r="G45" s="28">
        <f>G44+G42-G40*Assumptions!$B$32-(G40-F40)*Assumptions!$B$33</f>
        <v/>
      </c>
    </row>
    <row r="46">
      <c r="A46" s="6" t="inlineStr">
        <is>
          <t>Debt, beginning</t>
        </is>
      </c>
      <c r="B46" s="25">
        <f>'Sources &amp; Uses'!B14</f>
        <v/>
      </c>
      <c r="C46" s="28">
        <f>B46</f>
        <v/>
      </c>
      <c r="D46" s="28">
        <f>C48</f>
        <v/>
      </c>
      <c r="E46" s="28">
        <f>D48</f>
        <v/>
      </c>
      <c r="F46" s="28">
        <f>E48</f>
        <v/>
      </c>
      <c r="G46" s="28">
        <f>F48</f>
        <v/>
      </c>
    </row>
    <row r="47">
      <c r="A47" s="6" t="inlineStr">
        <is>
          <t>Mandatory amort. + sweep</t>
        </is>
      </c>
      <c r="C47" s="28">
        <f>MIN(MAX(0,C46-'Debt Schedule'!C23),'Debt Schedule'!C23+Assumptions!$B$23*MAX(0,C45-'Debt Schedule'!C23))</f>
        <v/>
      </c>
      <c r="D47" s="28">
        <f>MIN(MAX(0,D46-'Debt Schedule'!D23),'Debt Schedule'!D23+Assumptions!$B$23*MAX(0,D45-'Debt Schedule'!D23))</f>
        <v/>
      </c>
      <c r="E47" s="28">
        <f>MIN(MAX(0,E46-'Debt Schedule'!E23),'Debt Schedule'!E23+Assumptions!$B$23*MAX(0,E45-'Debt Schedule'!E23))</f>
        <v/>
      </c>
      <c r="F47" s="28">
        <f>MIN(MAX(0,F46-'Debt Schedule'!F23),'Debt Schedule'!F23+Assumptions!$B$23*MAX(0,F45-'Debt Schedule'!F23))</f>
        <v/>
      </c>
      <c r="G47" s="28">
        <f>MIN(MAX(0,G46-'Debt Schedule'!G23),'Debt Schedule'!G23+Assumptions!$B$23*MAX(0,G45-'Debt Schedule'!G23))</f>
        <v/>
      </c>
    </row>
    <row r="48">
      <c r="A48" s="6" t="inlineStr">
        <is>
          <t>Debt, ending</t>
        </is>
      </c>
      <c r="C48" s="28">
        <f>C46-C47</f>
        <v/>
      </c>
      <c r="D48" s="28">
        <f>D46-D47</f>
        <v/>
      </c>
      <c r="E48" s="28">
        <f>E46-E47</f>
        <v/>
      </c>
      <c r="F48" s="28">
        <f>F46-F47</f>
        <v/>
      </c>
      <c r="G48" s="28">
        <f>G46-G47</f>
        <v/>
      </c>
    </row>
    <row r="49">
      <c r="A49" s="6" t="inlineStr">
        <is>
          <t>Cash, beginning</t>
        </is>
      </c>
      <c r="B49" s="25">
        <f>Assumptions!$B$9/1000</f>
        <v/>
      </c>
      <c r="C49" s="28">
        <f>B49</f>
        <v/>
      </c>
      <c r="D49" s="28">
        <f>C50</f>
        <v/>
      </c>
      <c r="E49" s="28">
        <f>D50</f>
        <v/>
      </c>
      <c r="F49" s="28">
        <f>E50</f>
        <v/>
      </c>
      <c r="G49" s="28">
        <f>F50</f>
        <v/>
      </c>
    </row>
    <row r="50">
      <c r="A50" s="6" t="inlineStr">
        <is>
          <t>Cash, ending</t>
        </is>
      </c>
      <c r="C50" s="28">
        <f>C49+C45-C47</f>
        <v/>
      </c>
      <c r="D50" s="28">
        <f>D49+D45-D47</f>
        <v/>
      </c>
      <c r="E50" s="28">
        <f>E49+E45-E47</f>
        <v/>
      </c>
      <c r="F50" s="28">
        <f>F49+F45-F47</f>
        <v/>
      </c>
      <c r="G50" s="28">
        <f>G49+G45-G47</f>
        <v/>
      </c>
    </row>
    <row r="52">
      <c r="A52" s="19" t="inlineStr">
        <is>
          <t>Scenario 3: Revenue CAGR = E15</t>
        </is>
      </c>
    </row>
    <row r="53">
      <c r="C53" s="19" t="inlineStr">
        <is>
          <t>FY2026</t>
        </is>
      </c>
      <c r="D53" s="19" t="inlineStr">
        <is>
          <t>FY2027</t>
        </is>
      </c>
      <c r="E53" s="19" t="inlineStr">
        <is>
          <t>FY2028</t>
        </is>
      </c>
      <c r="F53" s="19" t="inlineStr">
        <is>
          <t>FY2029</t>
        </is>
      </c>
      <c r="G53" s="19" t="inlineStr">
        <is>
          <t>FY2030</t>
        </is>
      </c>
    </row>
    <row r="54">
      <c r="A54" s="6" t="inlineStr">
        <is>
          <t>Revenue</t>
        </is>
      </c>
      <c r="B54" s="25">
        <f>'Historical Financials'!F10/1000</f>
        <v/>
      </c>
      <c r="C54" s="28">
        <f>B54*(1+$E$15)</f>
        <v/>
      </c>
      <c r="D54" s="28">
        <f>C54*(1+$E$15)</f>
        <v/>
      </c>
      <c r="E54" s="28">
        <f>D54*(1+$E$15)</f>
        <v/>
      </c>
      <c r="F54" s="28">
        <f>E54*(1+$E$15)</f>
        <v/>
      </c>
      <c r="G54" s="28">
        <f>F54*(1+$E$15)</f>
        <v/>
      </c>
    </row>
    <row r="55">
      <c r="A55" s="6" t="inlineStr">
        <is>
          <t>EBITDA</t>
        </is>
      </c>
      <c r="C55" s="28">
        <f>C54*Assumptions!B28</f>
        <v/>
      </c>
      <c r="D55" s="28">
        <f>D54*Assumptions!C28</f>
        <v/>
      </c>
      <c r="E55" s="28">
        <f>E54*Assumptions!D28</f>
        <v/>
      </c>
      <c r="F55" s="28">
        <f>F54*Assumptions!E28</f>
        <v/>
      </c>
      <c r="G55" s="28">
        <f>G54*Assumptions!F28</f>
        <v/>
      </c>
    </row>
    <row r="56">
      <c r="A56" s="6" t="inlineStr">
        <is>
          <t>D&amp;A</t>
        </is>
      </c>
      <c r="C56" s="28">
        <f>C54*Assumptions!$B$31</f>
        <v/>
      </c>
      <c r="D56" s="28">
        <f>D54*Assumptions!$B$31</f>
        <v/>
      </c>
      <c r="E56" s="28">
        <f>E54*Assumptions!$B$31</f>
        <v/>
      </c>
      <c r="F56" s="28">
        <f>F54*Assumptions!$B$31</f>
        <v/>
      </c>
      <c r="G56" s="28">
        <f>G54*Assumptions!$B$31</f>
        <v/>
      </c>
    </row>
    <row r="57">
      <c r="A57" s="6" t="inlineStr">
        <is>
          <t>EBT (interest held at base-case $)</t>
        </is>
      </c>
      <c r="C57" s="28">
        <f>C55-C56-'Debt Schedule'!C37</f>
        <v/>
      </c>
      <c r="D57" s="28">
        <f>D55-D56-'Debt Schedule'!D37</f>
        <v/>
      </c>
      <c r="E57" s="28">
        <f>E55-E56-'Debt Schedule'!E37</f>
        <v/>
      </c>
      <c r="F57" s="28">
        <f>F55-F56-'Debt Schedule'!F37</f>
        <v/>
      </c>
      <c r="G57" s="28">
        <f>G55-G56-'Debt Schedule'!G37</f>
        <v/>
      </c>
    </row>
    <row r="58">
      <c r="A58" s="6" t="inlineStr">
        <is>
          <t>Net income</t>
        </is>
      </c>
      <c r="C58" s="28">
        <f>C57-MAX(0,C57)*Assumptions!$B$34</f>
        <v/>
      </c>
      <c r="D58" s="28">
        <f>D57-MAX(0,D57)*Assumptions!$B$34</f>
        <v/>
      </c>
      <c r="E58" s="28">
        <f>E57-MAX(0,E57)*Assumptions!$B$34</f>
        <v/>
      </c>
      <c r="F58" s="28">
        <f>F57-MAX(0,F57)*Assumptions!$B$34</f>
        <v/>
      </c>
      <c r="G58" s="28">
        <f>G57-MAX(0,G57)*Assumptions!$B$34</f>
        <v/>
      </c>
    </row>
    <row r="59">
      <c r="A59" s="6" t="inlineStr">
        <is>
          <t>FCF before debt service</t>
        </is>
      </c>
      <c r="C59" s="28">
        <f>C58+C56-C54*Assumptions!$B$32-(C54-B54)*Assumptions!$B$33</f>
        <v/>
      </c>
      <c r="D59" s="28">
        <f>D58+D56-D54*Assumptions!$B$32-(D54-C54)*Assumptions!$B$33</f>
        <v/>
      </c>
      <c r="E59" s="28">
        <f>E58+E56-E54*Assumptions!$B$32-(E54-D54)*Assumptions!$B$33</f>
        <v/>
      </c>
      <c r="F59" s="28">
        <f>F58+F56-F54*Assumptions!$B$32-(F54-E54)*Assumptions!$B$33</f>
        <v/>
      </c>
      <c r="G59" s="28">
        <f>G58+G56-G54*Assumptions!$B$32-(G54-F54)*Assumptions!$B$33</f>
        <v/>
      </c>
    </row>
    <row r="60">
      <c r="A60" s="6" t="inlineStr">
        <is>
          <t>Debt, beginning</t>
        </is>
      </c>
      <c r="B60" s="25">
        <f>'Sources &amp; Uses'!B14</f>
        <v/>
      </c>
      <c r="C60" s="28">
        <f>B60</f>
        <v/>
      </c>
      <c r="D60" s="28">
        <f>C62</f>
        <v/>
      </c>
      <c r="E60" s="28">
        <f>D62</f>
        <v/>
      </c>
      <c r="F60" s="28">
        <f>E62</f>
        <v/>
      </c>
      <c r="G60" s="28">
        <f>F62</f>
        <v/>
      </c>
    </row>
    <row r="61">
      <c r="A61" s="6" t="inlineStr">
        <is>
          <t>Mandatory amort. + sweep</t>
        </is>
      </c>
      <c r="C61" s="28">
        <f>MIN(MAX(0,C60-'Debt Schedule'!C23),'Debt Schedule'!C23+Assumptions!$B$23*MAX(0,C59-'Debt Schedule'!C23))</f>
        <v/>
      </c>
      <c r="D61" s="28">
        <f>MIN(MAX(0,D60-'Debt Schedule'!D23),'Debt Schedule'!D23+Assumptions!$B$23*MAX(0,D59-'Debt Schedule'!D23))</f>
        <v/>
      </c>
      <c r="E61" s="28">
        <f>MIN(MAX(0,E60-'Debt Schedule'!E23),'Debt Schedule'!E23+Assumptions!$B$23*MAX(0,E59-'Debt Schedule'!E23))</f>
        <v/>
      </c>
      <c r="F61" s="28">
        <f>MIN(MAX(0,F60-'Debt Schedule'!F23),'Debt Schedule'!F23+Assumptions!$B$23*MAX(0,F59-'Debt Schedule'!F23))</f>
        <v/>
      </c>
      <c r="G61" s="28">
        <f>MIN(MAX(0,G60-'Debt Schedule'!G23),'Debt Schedule'!G23+Assumptions!$B$23*MAX(0,G59-'Debt Schedule'!G23))</f>
        <v/>
      </c>
    </row>
    <row r="62">
      <c r="A62" s="6" t="inlineStr">
        <is>
          <t>Debt, ending</t>
        </is>
      </c>
      <c r="C62" s="28">
        <f>C60-C61</f>
        <v/>
      </c>
      <c r="D62" s="28">
        <f>D60-D61</f>
        <v/>
      </c>
      <c r="E62" s="28">
        <f>E60-E61</f>
        <v/>
      </c>
      <c r="F62" s="28">
        <f>F60-F61</f>
        <v/>
      </c>
      <c r="G62" s="28">
        <f>G60-G61</f>
        <v/>
      </c>
    </row>
    <row r="63">
      <c r="A63" s="6" t="inlineStr">
        <is>
          <t>Cash, beginning</t>
        </is>
      </c>
      <c r="B63" s="25">
        <f>Assumptions!$B$9/1000</f>
        <v/>
      </c>
      <c r="C63" s="28">
        <f>B63</f>
        <v/>
      </c>
      <c r="D63" s="28">
        <f>C64</f>
        <v/>
      </c>
      <c r="E63" s="28">
        <f>D64</f>
        <v/>
      </c>
      <c r="F63" s="28">
        <f>E64</f>
        <v/>
      </c>
      <c r="G63" s="28">
        <f>F64</f>
        <v/>
      </c>
    </row>
    <row r="64">
      <c r="A64" s="6" t="inlineStr">
        <is>
          <t>Cash, ending</t>
        </is>
      </c>
      <c r="C64" s="28">
        <f>C63+C59-C61</f>
        <v/>
      </c>
      <c r="D64" s="28">
        <f>D63+D59-D61</f>
        <v/>
      </c>
      <c r="E64" s="28">
        <f>E63+E59-E61</f>
        <v/>
      </c>
      <c r="F64" s="28">
        <f>F63+F59-F61</f>
        <v/>
      </c>
      <c r="G64" s="28">
        <f>G63+G59-G61</f>
        <v/>
      </c>
    </row>
    <row r="66">
      <c r="A66" s="19" t="inlineStr">
        <is>
          <t>Scenario 4: Revenue CAGR = F15</t>
        </is>
      </c>
    </row>
    <row r="67">
      <c r="C67" s="19" t="inlineStr">
        <is>
          <t>FY2026</t>
        </is>
      </c>
      <c r="D67" s="19" t="inlineStr">
        <is>
          <t>FY2027</t>
        </is>
      </c>
      <c r="E67" s="19" t="inlineStr">
        <is>
          <t>FY2028</t>
        </is>
      </c>
      <c r="F67" s="19" t="inlineStr">
        <is>
          <t>FY2029</t>
        </is>
      </c>
      <c r="G67" s="19" t="inlineStr">
        <is>
          <t>FY2030</t>
        </is>
      </c>
    </row>
    <row r="68">
      <c r="A68" s="6" t="inlineStr">
        <is>
          <t>Revenue</t>
        </is>
      </c>
      <c r="B68" s="25">
        <f>'Historical Financials'!F10/1000</f>
        <v/>
      </c>
      <c r="C68" s="28">
        <f>B68*(1+$F$15)</f>
        <v/>
      </c>
      <c r="D68" s="28">
        <f>C68*(1+$F$15)</f>
        <v/>
      </c>
      <c r="E68" s="28">
        <f>D68*(1+$F$15)</f>
        <v/>
      </c>
      <c r="F68" s="28">
        <f>E68*(1+$F$15)</f>
        <v/>
      </c>
      <c r="G68" s="28">
        <f>F68*(1+$F$15)</f>
        <v/>
      </c>
    </row>
    <row r="69">
      <c r="A69" s="6" t="inlineStr">
        <is>
          <t>EBITDA</t>
        </is>
      </c>
      <c r="C69" s="28">
        <f>C68*Assumptions!B28</f>
        <v/>
      </c>
      <c r="D69" s="28">
        <f>D68*Assumptions!C28</f>
        <v/>
      </c>
      <c r="E69" s="28">
        <f>E68*Assumptions!D28</f>
        <v/>
      </c>
      <c r="F69" s="28">
        <f>F68*Assumptions!E28</f>
        <v/>
      </c>
      <c r="G69" s="28">
        <f>G68*Assumptions!F28</f>
        <v/>
      </c>
    </row>
    <row r="70">
      <c r="A70" s="6" t="inlineStr">
        <is>
          <t>D&amp;A</t>
        </is>
      </c>
      <c r="C70" s="28">
        <f>C68*Assumptions!$B$31</f>
        <v/>
      </c>
      <c r="D70" s="28">
        <f>D68*Assumptions!$B$31</f>
        <v/>
      </c>
      <c r="E70" s="28">
        <f>E68*Assumptions!$B$31</f>
        <v/>
      </c>
      <c r="F70" s="28">
        <f>F68*Assumptions!$B$31</f>
        <v/>
      </c>
      <c r="G70" s="28">
        <f>G68*Assumptions!$B$31</f>
        <v/>
      </c>
    </row>
    <row r="71">
      <c r="A71" s="6" t="inlineStr">
        <is>
          <t>EBT (interest held at base-case $)</t>
        </is>
      </c>
      <c r="C71" s="28">
        <f>C69-C70-'Debt Schedule'!C37</f>
        <v/>
      </c>
      <c r="D71" s="28">
        <f>D69-D70-'Debt Schedule'!D37</f>
        <v/>
      </c>
      <c r="E71" s="28">
        <f>E69-E70-'Debt Schedule'!E37</f>
        <v/>
      </c>
      <c r="F71" s="28">
        <f>F69-F70-'Debt Schedule'!F37</f>
        <v/>
      </c>
      <c r="G71" s="28">
        <f>G69-G70-'Debt Schedule'!G37</f>
        <v/>
      </c>
    </row>
    <row r="72">
      <c r="A72" s="6" t="inlineStr">
        <is>
          <t>Net income</t>
        </is>
      </c>
      <c r="C72" s="28">
        <f>C71-MAX(0,C71)*Assumptions!$B$34</f>
        <v/>
      </c>
      <c r="D72" s="28">
        <f>D71-MAX(0,D71)*Assumptions!$B$34</f>
        <v/>
      </c>
      <c r="E72" s="28">
        <f>E71-MAX(0,E71)*Assumptions!$B$34</f>
        <v/>
      </c>
      <c r="F72" s="28">
        <f>F71-MAX(0,F71)*Assumptions!$B$34</f>
        <v/>
      </c>
      <c r="G72" s="28">
        <f>G71-MAX(0,G71)*Assumptions!$B$34</f>
        <v/>
      </c>
    </row>
    <row r="73">
      <c r="A73" s="6" t="inlineStr">
        <is>
          <t>FCF before debt service</t>
        </is>
      </c>
      <c r="C73" s="28">
        <f>C72+C70-C68*Assumptions!$B$32-(C68-B68)*Assumptions!$B$33</f>
        <v/>
      </c>
      <c r="D73" s="28">
        <f>D72+D70-D68*Assumptions!$B$32-(D68-C68)*Assumptions!$B$33</f>
        <v/>
      </c>
      <c r="E73" s="28">
        <f>E72+E70-E68*Assumptions!$B$32-(E68-D68)*Assumptions!$B$33</f>
        <v/>
      </c>
      <c r="F73" s="28">
        <f>F72+F70-F68*Assumptions!$B$32-(F68-E68)*Assumptions!$B$33</f>
        <v/>
      </c>
      <c r="G73" s="28">
        <f>G72+G70-G68*Assumptions!$B$32-(G68-F68)*Assumptions!$B$33</f>
        <v/>
      </c>
    </row>
    <row r="74">
      <c r="A74" s="6" t="inlineStr">
        <is>
          <t>Debt, beginning</t>
        </is>
      </c>
      <c r="B74" s="25">
        <f>'Sources &amp; Uses'!B14</f>
        <v/>
      </c>
      <c r="C74" s="28">
        <f>B74</f>
        <v/>
      </c>
      <c r="D74" s="28">
        <f>C76</f>
        <v/>
      </c>
      <c r="E74" s="28">
        <f>D76</f>
        <v/>
      </c>
      <c r="F74" s="28">
        <f>E76</f>
        <v/>
      </c>
      <c r="G74" s="28">
        <f>F76</f>
        <v/>
      </c>
    </row>
    <row r="75">
      <c r="A75" s="6" t="inlineStr">
        <is>
          <t>Mandatory amort. + sweep</t>
        </is>
      </c>
      <c r="C75" s="28">
        <f>MIN(MAX(0,C74-'Debt Schedule'!C23),'Debt Schedule'!C23+Assumptions!$B$23*MAX(0,C73-'Debt Schedule'!C23))</f>
        <v/>
      </c>
      <c r="D75" s="28">
        <f>MIN(MAX(0,D74-'Debt Schedule'!D23),'Debt Schedule'!D23+Assumptions!$B$23*MAX(0,D73-'Debt Schedule'!D23))</f>
        <v/>
      </c>
      <c r="E75" s="28">
        <f>MIN(MAX(0,E74-'Debt Schedule'!E23),'Debt Schedule'!E23+Assumptions!$B$23*MAX(0,E73-'Debt Schedule'!E23))</f>
        <v/>
      </c>
      <c r="F75" s="28">
        <f>MIN(MAX(0,F74-'Debt Schedule'!F23),'Debt Schedule'!F23+Assumptions!$B$23*MAX(0,F73-'Debt Schedule'!F23))</f>
        <v/>
      </c>
      <c r="G75" s="28">
        <f>MIN(MAX(0,G74-'Debt Schedule'!G23),'Debt Schedule'!G23+Assumptions!$B$23*MAX(0,G73-'Debt Schedule'!G23))</f>
        <v/>
      </c>
    </row>
    <row r="76">
      <c r="A76" s="6" t="inlineStr">
        <is>
          <t>Debt, ending</t>
        </is>
      </c>
      <c r="C76" s="28">
        <f>C74-C75</f>
        <v/>
      </c>
      <c r="D76" s="28">
        <f>D74-D75</f>
        <v/>
      </c>
      <c r="E76" s="28">
        <f>E74-E75</f>
        <v/>
      </c>
      <c r="F76" s="28">
        <f>F74-F75</f>
        <v/>
      </c>
      <c r="G76" s="28">
        <f>G74-G75</f>
        <v/>
      </c>
    </row>
    <row r="77">
      <c r="A77" s="6" t="inlineStr">
        <is>
          <t>Cash, beginning</t>
        </is>
      </c>
      <c r="B77" s="25">
        <f>Assumptions!$B$9/1000</f>
        <v/>
      </c>
      <c r="C77" s="28">
        <f>B77</f>
        <v/>
      </c>
      <c r="D77" s="28">
        <f>C78</f>
        <v/>
      </c>
      <c r="E77" s="28">
        <f>D78</f>
        <v/>
      </c>
      <c r="F77" s="28">
        <f>E78</f>
        <v/>
      </c>
      <c r="G77" s="28">
        <f>F78</f>
        <v/>
      </c>
    </row>
    <row r="78">
      <c r="A78" s="6" t="inlineStr">
        <is>
          <t>Cash, ending</t>
        </is>
      </c>
      <c r="C78" s="28">
        <f>C77+C73-C75</f>
        <v/>
      </c>
      <c r="D78" s="28">
        <f>D77+D73-D75</f>
        <v/>
      </c>
      <c r="E78" s="28">
        <f>E77+E73-E75</f>
        <v/>
      </c>
      <c r="F78" s="28">
        <f>F77+F73-F75</f>
        <v/>
      </c>
      <c r="G78" s="28">
        <f>G77+G73-G75</f>
        <v/>
      </c>
    </row>
    <row r="80">
      <c r="A80" s="19" t="inlineStr">
        <is>
          <t>Scenario 5: Revenue CAGR = G15</t>
        </is>
      </c>
    </row>
    <row r="81">
      <c r="C81" s="19" t="inlineStr">
        <is>
          <t>FY2026</t>
        </is>
      </c>
      <c r="D81" s="19" t="inlineStr">
        <is>
          <t>FY2027</t>
        </is>
      </c>
      <c r="E81" s="19" t="inlineStr">
        <is>
          <t>FY2028</t>
        </is>
      </c>
      <c r="F81" s="19" t="inlineStr">
        <is>
          <t>FY2029</t>
        </is>
      </c>
      <c r="G81" s="19" t="inlineStr">
        <is>
          <t>FY2030</t>
        </is>
      </c>
    </row>
    <row r="82">
      <c r="A82" s="6" t="inlineStr">
        <is>
          <t>Revenue</t>
        </is>
      </c>
      <c r="B82" s="25">
        <f>'Historical Financials'!F10/1000</f>
        <v/>
      </c>
      <c r="C82" s="28">
        <f>B82*(1+$G$15)</f>
        <v/>
      </c>
      <c r="D82" s="28">
        <f>C82*(1+$G$15)</f>
        <v/>
      </c>
      <c r="E82" s="28">
        <f>D82*(1+$G$15)</f>
        <v/>
      </c>
      <c r="F82" s="28">
        <f>E82*(1+$G$15)</f>
        <v/>
      </c>
      <c r="G82" s="28">
        <f>F82*(1+$G$15)</f>
        <v/>
      </c>
    </row>
    <row r="83">
      <c r="A83" s="6" t="inlineStr">
        <is>
          <t>EBITDA</t>
        </is>
      </c>
      <c r="C83" s="28">
        <f>C82*Assumptions!B28</f>
        <v/>
      </c>
      <c r="D83" s="28">
        <f>D82*Assumptions!C28</f>
        <v/>
      </c>
      <c r="E83" s="28">
        <f>E82*Assumptions!D28</f>
        <v/>
      </c>
      <c r="F83" s="28">
        <f>F82*Assumptions!E28</f>
        <v/>
      </c>
      <c r="G83" s="28">
        <f>G82*Assumptions!F28</f>
        <v/>
      </c>
    </row>
    <row r="84">
      <c r="A84" s="6" t="inlineStr">
        <is>
          <t>D&amp;A</t>
        </is>
      </c>
      <c r="C84" s="28">
        <f>C82*Assumptions!$B$31</f>
        <v/>
      </c>
      <c r="D84" s="28">
        <f>D82*Assumptions!$B$31</f>
        <v/>
      </c>
      <c r="E84" s="28">
        <f>E82*Assumptions!$B$31</f>
        <v/>
      </c>
      <c r="F84" s="28">
        <f>F82*Assumptions!$B$31</f>
        <v/>
      </c>
      <c r="G84" s="28">
        <f>G82*Assumptions!$B$31</f>
        <v/>
      </c>
    </row>
    <row r="85">
      <c r="A85" s="6" t="inlineStr">
        <is>
          <t>EBT (interest held at base-case $)</t>
        </is>
      </c>
      <c r="C85" s="28">
        <f>C83-C84-'Debt Schedule'!C37</f>
        <v/>
      </c>
      <c r="D85" s="28">
        <f>D83-D84-'Debt Schedule'!D37</f>
        <v/>
      </c>
      <c r="E85" s="28">
        <f>E83-E84-'Debt Schedule'!E37</f>
        <v/>
      </c>
      <c r="F85" s="28">
        <f>F83-F84-'Debt Schedule'!F37</f>
        <v/>
      </c>
      <c r="G85" s="28">
        <f>G83-G84-'Debt Schedule'!G37</f>
        <v/>
      </c>
    </row>
    <row r="86">
      <c r="A86" s="6" t="inlineStr">
        <is>
          <t>Net income</t>
        </is>
      </c>
      <c r="C86" s="28">
        <f>C85-MAX(0,C85)*Assumptions!$B$34</f>
        <v/>
      </c>
      <c r="D86" s="28">
        <f>D85-MAX(0,D85)*Assumptions!$B$34</f>
        <v/>
      </c>
      <c r="E86" s="28">
        <f>E85-MAX(0,E85)*Assumptions!$B$34</f>
        <v/>
      </c>
      <c r="F86" s="28">
        <f>F85-MAX(0,F85)*Assumptions!$B$34</f>
        <v/>
      </c>
      <c r="G86" s="28">
        <f>G85-MAX(0,G85)*Assumptions!$B$34</f>
        <v/>
      </c>
    </row>
    <row r="87">
      <c r="A87" s="6" t="inlineStr">
        <is>
          <t>FCF before debt service</t>
        </is>
      </c>
      <c r="C87" s="28">
        <f>C86+C84-C82*Assumptions!$B$32-(C82-B82)*Assumptions!$B$33</f>
        <v/>
      </c>
      <c r="D87" s="28">
        <f>D86+D84-D82*Assumptions!$B$32-(D82-C82)*Assumptions!$B$33</f>
        <v/>
      </c>
      <c r="E87" s="28">
        <f>E86+E84-E82*Assumptions!$B$32-(E82-D82)*Assumptions!$B$33</f>
        <v/>
      </c>
      <c r="F87" s="28">
        <f>F86+F84-F82*Assumptions!$B$32-(F82-E82)*Assumptions!$B$33</f>
        <v/>
      </c>
      <c r="G87" s="28">
        <f>G86+G84-G82*Assumptions!$B$32-(G82-F82)*Assumptions!$B$33</f>
        <v/>
      </c>
    </row>
    <row r="88">
      <c r="A88" s="6" t="inlineStr">
        <is>
          <t>Debt, beginning</t>
        </is>
      </c>
      <c r="B88" s="25">
        <f>'Sources &amp; Uses'!B14</f>
        <v/>
      </c>
      <c r="C88" s="28">
        <f>B88</f>
        <v/>
      </c>
      <c r="D88" s="28">
        <f>C90</f>
        <v/>
      </c>
      <c r="E88" s="28">
        <f>D90</f>
        <v/>
      </c>
      <c r="F88" s="28">
        <f>E90</f>
        <v/>
      </c>
      <c r="G88" s="28">
        <f>F90</f>
        <v/>
      </c>
    </row>
    <row r="89">
      <c r="A89" s="6" t="inlineStr">
        <is>
          <t>Mandatory amort. + sweep</t>
        </is>
      </c>
      <c r="C89" s="28">
        <f>MIN(MAX(0,C88-'Debt Schedule'!C23),'Debt Schedule'!C23+Assumptions!$B$23*MAX(0,C87-'Debt Schedule'!C23))</f>
        <v/>
      </c>
      <c r="D89" s="28">
        <f>MIN(MAX(0,D88-'Debt Schedule'!D23),'Debt Schedule'!D23+Assumptions!$B$23*MAX(0,D87-'Debt Schedule'!D23))</f>
        <v/>
      </c>
      <c r="E89" s="28">
        <f>MIN(MAX(0,E88-'Debt Schedule'!E23),'Debt Schedule'!E23+Assumptions!$B$23*MAX(0,E87-'Debt Schedule'!E23))</f>
        <v/>
      </c>
      <c r="F89" s="28">
        <f>MIN(MAX(0,F88-'Debt Schedule'!F23),'Debt Schedule'!F23+Assumptions!$B$23*MAX(0,F87-'Debt Schedule'!F23))</f>
        <v/>
      </c>
      <c r="G89" s="28">
        <f>MIN(MAX(0,G88-'Debt Schedule'!G23),'Debt Schedule'!G23+Assumptions!$B$23*MAX(0,G87-'Debt Schedule'!G23))</f>
        <v/>
      </c>
    </row>
    <row r="90">
      <c r="A90" s="6" t="inlineStr">
        <is>
          <t>Debt, ending</t>
        </is>
      </c>
      <c r="C90" s="28">
        <f>C88-C89</f>
        <v/>
      </c>
      <c r="D90" s="28">
        <f>D88-D89</f>
        <v/>
      </c>
      <c r="E90" s="28">
        <f>E88-E89</f>
        <v/>
      </c>
      <c r="F90" s="28">
        <f>F88-F89</f>
        <v/>
      </c>
      <c r="G90" s="28">
        <f>G88-G89</f>
        <v/>
      </c>
    </row>
    <row r="91">
      <c r="A91" s="6" t="inlineStr">
        <is>
          <t>Cash, beginning</t>
        </is>
      </c>
      <c r="B91" s="25">
        <f>Assumptions!$B$9/1000</f>
        <v/>
      </c>
      <c r="C91" s="28">
        <f>B91</f>
        <v/>
      </c>
      <c r="D91" s="28">
        <f>C92</f>
        <v/>
      </c>
      <c r="E91" s="28">
        <f>D92</f>
        <v/>
      </c>
      <c r="F91" s="28">
        <f>E92</f>
        <v/>
      </c>
      <c r="G91" s="28">
        <f>F92</f>
        <v/>
      </c>
    </row>
    <row r="92">
      <c r="A92" s="6" t="inlineStr">
        <is>
          <t>Cash, ending</t>
        </is>
      </c>
      <c r="C92" s="28">
        <f>C91+C87-C89</f>
        <v/>
      </c>
      <c r="D92" s="28">
        <f>D91+D87-D89</f>
        <v/>
      </c>
      <c r="E92" s="28">
        <f>E91+E87-E89</f>
        <v/>
      </c>
      <c r="F92" s="28">
        <f>F91+F87-F89</f>
        <v/>
      </c>
      <c r="G92" s="28">
        <f>G91+G87-G89</f>
        <v/>
      </c>
    </row>
  </sheetData>
  <mergeCells count="5">
    <mergeCell ref="A4:H4"/>
    <mergeCell ref="A2:H2"/>
    <mergeCell ref="A13:H13"/>
    <mergeCell ref="A1:H1"/>
    <mergeCell ref="A23:H23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V2X, Inc. (NYSE: VVX) — Credit Stats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$ in millions. Shows whether the LBO capital structure is financeable across the hold.</t>
        </is>
      </c>
    </row>
    <row r="4">
      <c r="A4" s="6" t="inlineStr"/>
      <c r="B4" s="14" t="inlineStr">
        <is>
          <t>At Close</t>
        </is>
      </c>
      <c r="C4" s="14" t="inlineStr">
        <is>
          <t>FY2026</t>
        </is>
      </c>
      <c r="D4" s="14" t="inlineStr">
        <is>
          <t>FY2027</t>
        </is>
      </c>
      <c r="E4" s="14" t="inlineStr">
        <is>
          <t>FY2028</t>
        </is>
      </c>
      <c r="F4" s="14" t="inlineStr">
        <is>
          <t>FY2029</t>
        </is>
      </c>
      <c r="G4" s="14" t="inlineStr">
        <is>
          <t>FY2030</t>
        </is>
      </c>
    </row>
    <row r="5">
      <c r="A5" s="6" t="inlineStr">
        <is>
          <t>Total debt outstanding</t>
        </is>
      </c>
      <c r="B5" s="25">
        <f>'Debt Schedule'!B38</f>
        <v/>
      </c>
      <c r="C5" s="25">
        <f>'Debt Schedule'!C38</f>
        <v/>
      </c>
      <c r="D5" s="25">
        <f>'Debt Schedule'!D38</f>
        <v/>
      </c>
      <c r="E5" s="25">
        <f>'Debt Schedule'!E38</f>
        <v/>
      </c>
      <c r="F5" s="25">
        <f>'Debt Schedule'!F38</f>
        <v/>
      </c>
      <c r="G5" s="25">
        <f>'Debt Schedule'!G38</f>
        <v/>
      </c>
    </row>
    <row r="6">
      <c r="A6" s="6" t="inlineStr">
        <is>
          <t>Net debt</t>
        </is>
      </c>
      <c r="B6" s="25">
        <f>'Debt Schedule'!B40</f>
        <v/>
      </c>
      <c r="C6" s="25">
        <f>'Debt Schedule'!C40</f>
        <v/>
      </c>
      <c r="D6" s="25">
        <f>'Debt Schedule'!D40</f>
        <v/>
      </c>
      <c r="E6" s="25">
        <f>'Debt Schedule'!E40</f>
        <v/>
      </c>
      <c r="F6" s="25">
        <f>'Debt Schedule'!F40</f>
        <v/>
      </c>
      <c r="G6" s="25">
        <f>'Debt Schedule'!G40</f>
        <v/>
      </c>
    </row>
    <row r="7">
      <c r="A7" s="6" t="inlineStr">
        <is>
          <t>EBITDA</t>
        </is>
      </c>
      <c r="B7" s="25">
        <f>'Sources &amp; Uses'!B5</f>
        <v/>
      </c>
      <c r="C7" s="25">
        <f>'Operating Model'!C9</f>
        <v/>
      </c>
      <c r="D7" s="25">
        <f>'Operating Model'!D9</f>
        <v/>
      </c>
      <c r="E7" s="25">
        <f>'Operating Model'!E9</f>
        <v/>
      </c>
      <c r="F7" s="25">
        <f>'Operating Model'!F9</f>
        <v/>
      </c>
      <c r="G7" s="25">
        <f>'Operating Model'!G9</f>
        <v/>
      </c>
    </row>
    <row r="8">
      <c r="A8" s="6" t="inlineStr">
        <is>
          <t>Total interest expense</t>
        </is>
      </c>
      <c r="B8" s="9" t="inlineStr">
        <is>
          <t>n/a</t>
        </is>
      </c>
      <c r="C8" s="25">
        <f>'Debt Schedule'!C37</f>
        <v/>
      </c>
      <c r="D8" s="25">
        <f>'Debt Schedule'!D37</f>
        <v/>
      </c>
      <c r="E8" s="25">
        <f>'Debt Schedule'!E37</f>
        <v/>
      </c>
      <c r="F8" s="25">
        <f>'Debt Schedule'!F37</f>
        <v/>
      </c>
      <c r="G8" s="25">
        <f>'Debt Schedule'!G37</f>
        <v/>
      </c>
    </row>
    <row r="10">
      <c r="A10" s="19" t="inlineStr">
        <is>
          <t>Total Debt / EBITDA</t>
        </is>
      </c>
      <c r="B10" s="33">
        <f>B5/B7</f>
        <v/>
      </c>
      <c r="C10" s="33">
        <f>C5/C7</f>
        <v/>
      </c>
      <c r="D10" s="33">
        <f>D5/D7</f>
        <v/>
      </c>
      <c r="E10" s="33">
        <f>E5/E7</f>
        <v/>
      </c>
      <c r="F10" s="33">
        <f>F5/F7</f>
        <v/>
      </c>
      <c r="G10" s="33">
        <f>G5/G7</f>
        <v/>
      </c>
    </row>
    <row r="11">
      <c r="A11" s="19" t="inlineStr">
        <is>
          <t>Net Debt / EBITDA</t>
        </is>
      </c>
      <c r="B11" s="33">
        <f>B6/B7</f>
        <v/>
      </c>
      <c r="C11" s="33">
        <f>C6/C7</f>
        <v/>
      </c>
      <c r="D11" s="33">
        <f>D6/D7</f>
        <v/>
      </c>
      <c r="E11" s="33">
        <f>E6/E7</f>
        <v/>
      </c>
      <c r="F11" s="33">
        <f>F6/F7</f>
        <v/>
      </c>
      <c r="G11" s="33">
        <f>G6/G7</f>
        <v/>
      </c>
    </row>
    <row r="12">
      <c r="A12" s="19" t="inlineStr">
        <is>
          <t>EBITDA / Interest expense</t>
        </is>
      </c>
      <c r="B12" s="9" t="inlineStr">
        <is>
          <t>n/a</t>
        </is>
      </c>
      <c r="C12" s="33">
        <f>C7/C8</f>
        <v/>
      </c>
      <c r="D12" s="33">
        <f>D7/D8</f>
        <v/>
      </c>
      <c r="E12" s="33">
        <f>E7/E8</f>
        <v/>
      </c>
      <c r="F12" s="33">
        <f>F7/F8</f>
        <v/>
      </c>
      <c r="G12" s="33">
        <f>G7/G8</f>
        <v/>
      </c>
    </row>
  </sheetData>
  <mergeCells count="2">
    <mergeCell ref="A2:G2"/>
    <mergeCell ref="A1:G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2026-08-21T00:48:34Z</dcterms:created>
  <dcterms:modified xmlns:dcterms="http://purl.org/dc/terms/" xmlns:xsi="http://www.w3.org/2001/XMLSchema-instance" xsi:type="dcterms:W3CDTF">2026-08-21T00:48:34Z</dcterms:modified>
</cp:coreProperties>
</file>